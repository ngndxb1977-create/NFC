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veen\Downloads\"/>
    </mc:Choice>
  </mc:AlternateContent>
  <xr:revisionPtr revIDLastSave="0" documentId="13_ncr:1_{715E1587-130A-416B-8A5F-3E36780AD19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Structure" sheetId="1" r:id="rId1"/>
    <sheet name="MY-2025" sheetId="2" r:id="rId2"/>
    <sheet name="MY-2026" sheetId="3" r:id="rId3"/>
    <sheet name="Combined 2025-2026" sheetId="4" r:id="rId4"/>
    <sheet name="Bank Details" sheetId="5" r:id="rId5"/>
    <sheet name="RMC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pDiCCZnowhlhG8vO0vsKg3EH0crR7lTVxioPa/IgRgI="/>
    </ext>
  </extLst>
</workbook>
</file>

<file path=xl/calcChain.xml><?xml version="1.0" encoding="utf-8"?>
<calcChain xmlns="http://schemas.openxmlformats.org/spreadsheetml/2006/main">
  <c r="O28" i="3" l="1"/>
  <c r="O27" i="3"/>
  <c r="W25" i="3"/>
  <c r="R25" i="3"/>
  <c r="R26" i="3" s="1"/>
  <c r="Q25" i="3"/>
  <c r="T24" i="3"/>
  <c r="P24" i="3"/>
  <c r="T21" i="3"/>
  <c r="T20" i="3"/>
  <c r="M20" i="3"/>
  <c r="P19" i="3"/>
  <c r="O19" i="3"/>
  <c r="D19" i="3"/>
  <c r="O18" i="3"/>
  <c r="T17" i="3"/>
  <c r="O17" i="3"/>
  <c r="O15" i="3"/>
  <c r="H15" i="3"/>
  <c r="O14" i="3"/>
  <c r="AA13" i="3"/>
  <c r="Z13" i="3"/>
  <c r="U13" i="3"/>
  <c r="O13" i="3"/>
  <c r="D13" i="3"/>
  <c r="O12" i="3"/>
  <c r="D12" i="3"/>
  <c r="Y11" i="3"/>
  <c r="X11" i="3"/>
  <c r="W11" i="3"/>
  <c r="V11" i="3"/>
  <c r="U11" i="3"/>
  <c r="O11" i="3"/>
  <c r="O16" i="3" s="1"/>
  <c r="D16" i="3" s="1"/>
  <c r="D11" i="3"/>
  <c r="Z10" i="3"/>
  <c r="K10" i="3" s="1"/>
  <c r="Q10" i="3"/>
  <c r="D10" i="3"/>
  <c r="T8" i="3"/>
  <c r="T9" i="3" s="1"/>
  <c r="B8" i="3"/>
  <c r="A19" i="3" s="1"/>
  <c r="A21" i="3" s="1"/>
  <c r="T7" i="3"/>
  <c r="C5" i="3"/>
  <c r="AA3" i="3"/>
  <c r="N34" i="2"/>
  <c r="O27" i="2"/>
  <c r="R26" i="2"/>
  <c r="R25" i="2"/>
  <c r="Q25" i="2"/>
  <c r="T24" i="2"/>
  <c r="P24" i="2"/>
  <c r="T21" i="2"/>
  <c r="T20" i="2"/>
  <c r="M20" i="2"/>
  <c r="P19" i="2"/>
  <c r="O19" i="2"/>
  <c r="T17" i="2"/>
  <c r="O17" i="2"/>
  <c r="O16" i="2"/>
  <c r="D16" i="2" s="1"/>
  <c r="O15" i="2"/>
  <c r="H15" i="2"/>
  <c r="O14" i="2"/>
  <c r="AA13" i="2"/>
  <c r="Z13" i="2"/>
  <c r="D19" i="2" s="1"/>
  <c r="U13" i="2"/>
  <c r="O13" i="2"/>
  <c r="D13" i="2"/>
  <c r="A13" i="2"/>
  <c r="O12" i="2"/>
  <c r="D12" i="2"/>
  <c r="Y11" i="2"/>
  <c r="X11" i="2"/>
  <c r="W11" i="2"/>
  <c r="V11" i="2"/>
  <c r="U11" i="2"/>
  <c r="O11" i="2"/>
  <c r="D11" i="2"/>
  <c r="Z10" i="2"/>
  <c r="K10" i="2" s="1"/>
  <c r="Q10" i="2"/>
  <c r="D10" i="2"/>
  <c r="A9" i="2"/>
  <c r="T8" i="2"/>
  <c r="T9" i="2" s="1"/>
  <c r="B8" i="2"/>
  <c r="N20" i="2" s="1"/>
  <c r="C8" i="2" s="1"/>
  <c r="T7" i="2"/>
  <c r="B7" i="2"/>
  <c r="A16" i="2" s="1"/>
  <c r="A7" i="2"/>
  <c r="C5" i="2"/>
  <c r="B5" i="2"/>
  <c r="AA3" i="2"/>
  <c r="A7" i="3" l="1"/>
  <c r="C7" i="2"/>
  <c r="F7" i="2" s="1"/>
  <c r="B9" i="2"/>
  <c r="V19" i="2"/>
  <c r="U19" i="2" s="1"/>
  <c r="B7" i="3"/>
  <c r="A9" i="3"/>
  <c r="D7" i="2"/>
  <c r="N19" i="2" s="1"/>
  <c r="A15" i="2"/>
  <c r="A17" i="2" s="1"/>
  <c r="A13" i="3"/>
  <c r="A19" i="2"/>
  <c r="A21" i="2" s="1"/>
  <c r="N20" i="3"/>
  <c r="C8" i="3" s="1"/>
  <c r="A16" i="3" l="1"/>
  <c r="V19" i="3"/>
  <c r="U19" i="3" s="1"/>
  <c r="A15" i="3"/>
  <c r="A17" i="3" s="1"/>
  <c r="B9" i="3"/>
  <c r="C7" i="3"/>
  <c r="F7" i="3" s="1"/>
  <c r="H14" i="2"/>
  <c r="O10" i="2"/>
  <c r="D15" i="2" s="1"/>
  <c r="D14" i="2"/>
  <c r="D17" i="2" s="1"/>
  <c r="E7" i="2" s="1"/>
  <c r="G7" i="2" s="1"/>
  <c r="H7" i="2" l="1"/>
  <c r="H8" i="2"/>
  <c r="Y19" i="2"/>
  <c r="X19" i="2"/>
  <c r="X20" i="2" s="1"/>
  <c r="D7" i="3"/>
  <c r="N19" i="3" s="1"/>
  <c r="D14" i="3"/>
  <c r="H14" i="3"/>
  <c r="O10" i="3"/>
  <c r="D15" i="3" s="1"/>
  <c r="J19" i="3"/>
  <c r="Z19" i="2" l="1"/>
  <c r="AA19" i="2" s="1"/>
  <c r="AB19" i="2" s="1"/>
  <c r="Y20" i="2"/>
  <c r="D17" i="3"/>
  <c r="E7" i="3" s="1"/>
  <c r="G7" i="3" s="1"/>
  <c r="AA20" i="2"/>
  <c r="L14" i="2"/>
  <c r="L16" i="2" s="1"/>
  <c r="K14" i="2"/>
  <c r="K16" i="2" s="1"/>
  <c r="M14" i="2"/>
  <c r="M16" i="2" s="1"/>
  <c r="K11" i="2"/>
  <c r="H24" i="2"/>
  <c r="J19" i="2"/>
  <c r="I24" i="2"/>
  <c r="I25" i="2" s="1"/>
  <c r="Q13" i="2"/>
  <c r="N14" i="2"/>
  <c r="I7" i="2"/>
  <c r="L7" i="2" l="1"/>
  <c r="K7" i="2"/>
  <c r="M7" i="2"/>
  <c r="H16" i="2"/>
  <c r="J7" i="2"/>
  <c r="N7" i="2"/>
  <c r="H7" i="3"/>
  <c r="H8" i="3"/>
  <c r="P7" i="2" l="1"/>
  <c r="P8" i="2" s="1"/>
  <c r="H17" i="2"/>
  <c r="K11" i="3"/>
  <c r="K14" i="3"/>
  <c r="K16" i="3" s="1"/>
  <c r="M14" i="3"/>
  <c r="L14" i="3"/>
  <c r="L16" i="3" s="1"/>
  <c r="Q13" i="3"/>
  <c r="N14" i="3"/>
  <c r="H24" i="3"/>
  <c r="I7" i="3"/>
  <c r="V6" i="2"/>
  <c r="U6" i="2"/>
  <c r="W5" i="2"/>
  <c r="N9" i="2"/>
  <c r="O23" i="2"/>
  <c r="S3" i="2"/>
  <c r="N8" i="2"/>
  <c r="N10" i="2" s="1"/>
  <c r="M8" i="2"/>
  <c r="L8" i="2"/>
  <c r="K8" i="2"/>
  <c r="J9" i="2"/>
  <c r="V5" i="2"/>
  <c r="M9" i="2"/>
  <c r="O5" i="2"/>
  <c r="K9" i="2"/>
  <c r="L9" i="2"/>
  <c r="U5" i="2"/>
  <c r="M16" i="3" l="1"/>
  <c r="N8" i="3"/>
  <c r="N10" i="3" s="1"/>
  <c r="K7" i="3"/>
  <c r="M8" i="3"/>
  <c r="M10" i="3" s="1"/>
  <c r="J7" i="3"/>
  <c r="J9" i="3" s="1"/>
  <c r="L8" i="3"/>
  <c r="L10" i="3" s="1"/>
  <c r="K8" i="3"/>
  <c r="L7" i="3"/>
  <c r="M7" i="3"/>
  <c r="H16" i="3"/>
  <c r="N7" i="3"/>
  <c r="V6" i="3" l="1"/>
  <c r="W27" i="3"/>
  <c r="U6" i="3"/>
  <c r="W5" i="3"/>
  <c r="N9" i="3"/>
  <c r="W6" i="3"/>
  <c r="S3" i="3"/>
  <c r="H17" i="3"/>
  <c r="P7" i="3"/>
  <c r="P8" i="3" s="1"/>
  <c r="I24" i="3"/>
  <c r="V5" i="3"/>
  <c r="M9" i="3"/>
  <c r="U5" i="3"/>
  <c r="L9" i="3"/>
  <c r="O5" i="3"/>
  <c r="K9" i="3"/>
  <c r="U21" i="3"/>
</calcChain>
</file>

<file path=xl/sharedStrings.xml><?xml version="1.0" encoding="utf-8"?>
<sst xmlns="http://schemas.openxmlformats.org/spreadsheetml/2006/main" count="869" uniqueCount="421">
  <si>
    <t>Microsoft Access Finance Calculator Form Design</t>
  </si>
  <si>
    <t>Based on the Excel finance calculator you've provided, I'll design a Microsoft Access database with input and output forms to replicate this functionality in a more user-friendly interface.</t>
  </si>
  <si>
    <t>Database Structure</t>
  </si>
  <si>
    <t>Tables Needed:</t>
  </si>
  <si>
    <t>1. VehicleModels</t>
  </si>
  <si>
    <t>ModelID (Primary Key)</t>
  </si>
  <si>
    <t>ModelName (e.g., "ASX ML", "Xpander HL P")</t>
  </si>
  <si>
    <t>BasePrice</t>
  </si>
  <si>
    <t>InsuranceRate</t>
  </si>
  <si>
    <t>Other model-specific data</t>
  </si>
  <si>
    <t>2. Accessories</t>
  </si>
  <si>
    <t>AccessoryID (Primary Key)</t>
  </si>
  <si>
    <t>AccessoryName (e.g., "Tint", "AM Extreme Protection")</t>
  </si>
  <si>
    <t>AccessoryPrice</t>
  </si>
  <si>
    <t>VATApplicable (Yes/No)</t>
  </si>
  <si>
    <t>3. Customers</t>
  </si>
  <si>
    <t>CustomerID (Primary Key)</t>
  </si>
  <si>
    <t>Name</t>
  </si>
  <si>
    <t>ContactInfo</t>
  </si>
  <si>
    <t>SalaryBracket</t>
  </si>
  <si>
    <t>BankPreference</t>
  </si>
  <si>
    <t>4. Calculations</t>
  </si>
  <si>
    <t>CalculationID (Primary Key)</t>
  </si>
  <si>
    <t>CustomerID (Foreign Key)</t>
  </si>
  <si>
    <t>VehicleModelID (Foreign Key)</t>
  </si>
  <si>
    <t>Date</t>
  </si>
  <si>
    <t>DownPaymentPercentage</t>
  </si>
  <si>
    <t>FinanceTerm</t>
  </si>
  <si>
    <t>TotalValue</t>
  </si>
  <si>
    <t>EMIAmount</t>
  </si>
  <si>
    <t>Other calculation fields</t>
  </si>
  <si>
    <t>Forms Design</t>
  </si>
  <si>
    <t>1. Main Input Form (frmFinanceCalculator)</t>
  </si>
  <si>
    <r>
      <rPr>
        <b/>
        <sz val="12"/>
        <color rgb="FF404040"/>
        <rFont val="Quattrocento Sans"/>
      </rPr>
      <t>Purpose:</t>
    </r>
    <r>
      <rPr>
        <sz val="12"/>
        <color rgb="FF404040"/>
        <rFont val="Segoe UI"/>
      </rPr>
      <t> Collect all necessary input data for the finance calculation.</t>
    </r>
  </si>
  <si>
    <t>Fields/Sections:</t>
  </si>
  <si>
    <t>1. Customer Information</t>
  </si>
  <si>
    <t>Contact details</t>
  </si>
  <si>
    <t>Salary bracket dropdown (e.g., "5000-9999", "15000-24999")</t>
  </si>
  <si>
    <t>Bank preference dropdown (e.g., "DIB", "Emirates NBD")</t>
  </si>
  <si>
    <t>2. Vehicle Selection</t>
  </si>
  <si>
    <t>Model dropdown (populated from VehicleModels table)</t>
  </si>
  <si>
    <t>Display of base price (auto-filled based on selection)</t>
  </si>
  <si>
    <t>Actual vehicle value (editable)</t>
  </si>
  <si>
    <t>3. Accessories Selection</t>
  </si>
  <si>
    <t>Checkboxes for each accessory (Tint, AM Extreme Protection, etc.)</t>
  </si>
  <si>
    <t>Quantity fields where applicable</t>
  </si>
  <si>
    <t>Auto-calculate accessory totals</t>
  </si>
  <si>
    <t>4. Finance Terms</t>
  </si>
  <si>
    <t>Down payment percentage (default 20%)</t>
  </si>
  <si>
    <t>Finance term selection (2-5 years)</t>
  </si>
  <si>
    <t>Insurance options (VRI Yes/No)</t>
  </si>
  <si>
    <t>5. Buttons</t>
  </si>
  <si>
    <t>Calculate</t>
  </si>
  <si>
    <t>Save Calculation</t>
  </si>
  <si>
    <t>Print/Export</t>
  </si>
  <si>
    <t>Clear Form</t>
  </si>
  <si>
    <t>2. Calculation Output Form (frmCalculationResults)</t>
  </si>
  <si>
    <r>
      <rPr>
        <b/>
        <sz val="12"/>
        <color rgb="FF404040"/>
        <rFont val="Quattrocento Sans"/>
      </rPr>
      <t>Purpose:</t>
    </r>
    <r>
      <rPr>
        <sz val="12"/>
        <color rgb="FF404040"/>
        <rFont val="Segoe UI"/>
      </rPr>
      <t> Display the detailed calculation results.</t>
    </r>
  </si>
  <si>
    <t>Sections:</t>
  </si>
  <si>
    <t>1. Summary Section</t>
  </si>
  <si>
    <t>Vehicle model</t>
  </si>
  <si>
    <t>Total vehicle value</t>
  </si>
  <si>
    <t>Down payment amount</t>
  </si>
  <si>
    <t>Finance amount</t>
  </si>
  <si>
    <t>2. EMI Breakdown</t>
  </si>
  <si>
    <t>Table showing EMI for 2, 3, 4, and 5 years</t>
  </si>
  <si>
    <t>Total interest for each term</t>
  </si>
  <si>
    <t>Interest rate applied</t>
  </si>
  <si>
    <t>3. Accessories Breakdown</t>
  </si>
  <si>
    <t>List of selected accessories</t>
  </si>
  <si>
    <t>Individual prices</t>
  </si>
  <si>
    <t>VAT amounts</t>
  </si>
  <si>
    <t>Total accessories cost</t>
  </si>
  <si>
    <t>4. Total Cash Outlay</t>
  </si>
  <si>
    <t>Down payment</t>
  </si>
  <si>
    <t>Accessories total</t>
  </si>
  <si>
    <t>Insurance costs</t>
  </si>
  <si>
    <t>Processing fees</t>
  </si>
  <si>
    <t>Grand total required to take the car</t>
  </si>
  <si>
    <t>Back to Input</t>
  </si>
  <si>
    <t>Save as PDF</t>
  </si>
  <si>
    <t>Email Results</t>
  </si>
  <si>
    <t>3. Supporting Forms</t>
  </si>
  <si>
    <r>
      <rPr>
        <b/>
        <sz val="12"/>
        <color rgb="FF404040"/>
        <rFont val="Quattrocento Sans"/>
      </rPr>
      <t>frmVehicleModels</t>
    </r>
    <r>
      <rPr>
        <sz val="12"/>
        <color rgb="FF404040"/>
        <rFont val="Segoe UI"/>
      </rPr>
      <t>: For maintaining the vehicle model database</t>
    </r>
  </si>
  <si>
    <r>
      <rPr>
        <b/>
        <sz val="12"/>
        <color rgb="FF404040"/>
        <rFont val="Quattrocento Sans"/>
      </rPr>
      <t>frmAccessories</t>
    </r>
    <r>
      <rPr>
        <sz val="12"/>
        <color rgb="FF404040"/>
        <rFont val="Segoe UI"/>
      </rPr>
      <t>: For maintaining the accessories database</t>
    </r>
  </si>
  <si>
    <r>
      <rPr>
        <b/>
        <sz val="12"/>
        <color rgb="FF404040"/>
        <rFont val="Quattrocento Sans"/>
      </rPr>
      <t>frmCustomerLookup</t>
    </r>
    <r>
      <rPr>
        <sz val="12"/>
        <color rgb="FF404040"/>
        <rFont val="Segoe UI"/>
      </rPr>
      <t>: To search existing customers</t>
    </r>
  </si>
  <si>
    <r>
      <rPr>
        <b/>
        <sz val="12"/>
        <color rgb="FF404040"/>
        <rFont val="Quattrocento Sans"/>
      </rPr>
      <t>frmSavedCalculations</t>
    </r>
    <r>
      <rPr>
        <sz val="12"/>
        <color rgb="FF404040"/>
        <rFont val="Segoe UI"/>
      </rPr>
      <t>: To view and retrieve past calculations</t>
    </r>
  </si>
  <si>
    <t>Implementation Steps</t>
  </si>
  <si>
    <r>
      <rPr>
        <b/>
        <sz val="12"/>
        <color rgb="FF404040"/>
        <rFont val="Quattrocento Sans"/>
      </rPr>
      <t>1. Create the database tables</t>
    </r>
    <r>
      <rPr>
        <sz val="12"/>
        <color rgb="FF404040"/>
        <rFont val="Segoe UI"/>
      </rPr>
      <t> with proper relationships</t>
    </r>
  </si>
  <si>
    <r>
      <rPr>
        <b/>
        <sz val="12"/>
        <color rgb="FF404040"/>
        <rFont val="Quattrocento Sans"/>
      </rPr>
      <t>2. Design the forms</t>
    </r>
    <r>
      <rPr>
        <sz val="12"/>
        <color rgb="FF404040"/>
        <rFont val="Segoe UI"/>
      </rPr>
      <t> with appropriate controls (comboboxes, checkboxes, etc.)</t>
    </r>
  </si>
  <si>
    <r>
      <rPr>
        <b/>
        <sz val="12"/>
        <color rgb="FF404040"/>
        <rFont val="Quattrocento Sans"/>
      </rPr>
      <t>3. Write VBA code</t>
    </r>
    <r>
      <rPr>
        <sz val="12"/>
        <color rgb="FF404040"/>
        <rFont val="Segoe UI"/>
      </rPr>
      <t> to:</t>
    </r>
  </si>
  <si>
    <t>Populate fields based on selections</t>
  </si>
  <si>
    <t>Perform all the calculations from the Excel formulas</t>
  </si>
  <si>
    <t>Handle data validation</t>
  </si>
  <si>
    <t>Save/retrieve calculations</t>
  </si>
  <si>
    <r>
      <rPr>
        <b/>
        <sz val="12"/>
        <color rgb="FF404040"/>
        <rFont val="Quattrocento Sans"/>
      </rPr>
      <t>4. Create reports</t>
    </r>
    <r>
      <rPr>
        <sz val="12"/>
        <color rgb="FF404040"/>
        <rFont val="Segoe UI"/>
      </rPr>
      <t> for printable output</t>
    </r>
  </si>
  <si>
    <r>
      <rPr>
        <b/>
        <sz val="12"/>
        <color rgb="FF404040"/>
        <rFont val="Quattrocento Sans"/>
      </rPr>
      <t>5. Add navigation</t>
    </r>
    <r>
      <rPr>
        <sz val="12"/>
        <color rgb="FF404040"/>
        <rFont val="Segoe UI"/>
      </rPr>
      <t> between forms</t>
    </r>
  </si>
  <si>
    <t>Key Calculations to Implement</t>
  </si>
  <si>
    <t>The VBA code will need to replicate all the Excel formulas, including:</t>
  </si>
  <si>
    <t>1. Vehicle value calculations based on model selection</t>
  </si>
  <si>
    <t>2. Accessory cost calculations with VAT where applicable</t>
  </si>
  <si>
    <t>3. Down payment calculation (typically 20% of total value)</t>
  </si>
  <si>
    <t>4. Finance amount calculation (80% of total value plus any adjustments)</t>
  </si>
  <si>
    <t>5. EMI calculations for different terms with appropriate interest rates</t>
  </si>
  <si>
    <t>6. Insurance cost calculations (3.15% of vehicle value)</t>
  </si>
  <si>
    <t>7. VAT calculations (5% of applicable amounts)</t>
  </si>
  <si>
    <t>8. Total cash outlay to take the car</t>
  </si>
  <si>
    <t>Finance Calculator</t>
  </si>
  <si>
    <t>2YRS</t>
  </si>
  <si>
    <t>3YRS</t>
  </si>
  <si>
    <t>4YRS</t>
  </si>
  <si>
    <t>5YRS</t>
  </si>
  <si>
    <t>MOP61</t>
  </si>
  <si>
    <t>MY-2025</t>
  </si>
  <si>
    <t>Actual Vehicle Value</t>
  </si>
  <si>
    <t>Vehicle Price</t>
  </si>
  <si>
    <t>Vat</t>
  </si>
  <si>
    <t xml:space="preserve">Vehicle Vat With Vat </t>
  </si>
  <si>
    <t>Add Ons</t>
  </si>
  <si>
    <t>Total VAT Charges</t>
  </si>
  <si>
    <t xml:space="preserve">Full Vehicle Value Including Add Ons </t>
  </si>
  <si>
    <t>Down-Payment
(20%)</t>
  </si>
  <si>
    <t>Finance Amount (80%)</t>
  </si>
  <si>
    <t>1-YR EMI</t>
  </si>
  <si>
    <t>2- Yrs EMI</t>
  </si>
  <si>
    <t>3-Yrs EMI</t>
  </si>
  <si>
    <t>4-Yrs EMI</t>
  </si>
  <si>
    <t>5-Year EMI</t>
  </si>
  <si>
    <t>Subvention</t>
  </si>
  <si>
    <t>Total Interest</t>
  </si>
  <si>
    <t>Reservation</t>
  </si>
  <si>
    <t xml:space="preserve">Accessories </t>
  </si>
  <si>
    <t>NO</t>
  </si>
  <si>
    <t xml:space="preserve">Reservation
</t>
  </si>
  <si>
    <t>YES</t>
  </si>
  <si>
    <t>FO Ceramic+ Intr&amp;Extr CeramicGold WdwTnt</t>
  </si>
  <si>
    <t xml:space="preserve">DP Fin Amt
</t>
  </si>
  <si>
    <t>FO Exterior ceramic All Cars SCOTCHGUARD</t>
  </si>
  <si>
    <t>Registration</t>
  </si>
  <si>
    <t>DP Finance</t>
  </si>
  <si>
    <t>SIB STL</t>
  </si>
  <si>
    <t>SIB NON STL</t>
  </si>
  <si>
    <t>Extended Warranty</t>
  </si>
  <si>
    <t>DP PF</t>
  </si>
  <si>
    <t>Tenor</t>
  </si>
  <si>
    <t>3 Months</t>
  </si>
  <si>
    <t>1YR</t>
  </si>
  <si>
    <t>5 YRS</t>
  </si>
  <si>
    <t>Veh Insurance</t>
  </si>
  <si>
    <t>VRI</t>
  </si>
  <si>
    <t>EMI</t>
  </si>
  <si>
    <t>Vehicle Insurance</t>
  </si>
  <si>
    <t>Insurance</t>
  </si>
  <si>
    <t>RMC-10-70KMS</t>
  </si>
  <si>
    <t>Bank PF</t>
  </si>
  <si>
    <t>Gap Ins</t>
  </si>
  <si>
    <t>Discount</t>
  </si>
  <si>
    <t>New VRI</t>
  </si>
  <si>
    <t xml:space="preserve">Bank Interest rate </t>
  </si>
  <si>
    <t>Depreciation On Prorata Basis[Per Day]</t>
  </si>
  <si>
    <t>Down Payment</t>
  </si>
  <si>
    <t>Permissible</t>
  </si>
  <si>
    <t>Banks</t>
  </si>
  <si>
    <t>Salary Bracket</t>
  </si>
  <si>
    <t>5000-9999</t>
  </si>
  <si>
    <t xml:space="preserve"> REQUIRED DOCUMENTS FOR AUTO LOAN FINANCE</t>
  </si>
  <si>
    <t>Ø</t>
  </si>
  <si>
    <r>
      <rPr>
        <b/>
        <sz val="20"/>
        <color theme="1"/>
        <rFont val="Noto Sans Symbols"/>
      </rPr>
      <t>Ø</t>
    </r>
    <r>
      <rPr>
        <b/>
        <sz val="20"/>
        <color theme="1"/>
        <rFont val="Times New Roman"/>
      </rPr>
      <t xml:space="preserve"> </t>
    </r>
    <r>
      <rPr>
        <b/>
        <sz val="20"/>
        <color theme="1"/>
        <rFont val="Agency FB"/>
      </rPr>
      <t>Passport Copy, Digital Visa &amp; Address Page For Indian Passport, Page #44 For Philippines Passport.</t>
    </r>
  </si>
  <si>
    <r>
      <rPr>
        <b/>
        <sz val="20"/>
        <color theme="1"/>
        <rFont val="Noto Sans Symbols"/>
      </rPr>
      <t>Ø</t>
    </r>
    <r>
      <rPr>
        <b/>
        <sz val="20"/>
        <color theme="1"/>
        <rFont val="Times New Roman"/>
      </rPr>
      <t xml:space="preserve"> </t>
    </r>
    <r>
      <rPr>
        <b/>
        <sz val="20"/>
        <color theme="1"/>
        <rFont val="Agency FB"/>
      </rPr>
      <t>Emirates ID Card Copy Both Sides.</t>
    </r>
  </si>
  <si>
    <r>
      <rPr>
        <b/>
        <sz val="20"/>
        <color theme="1"/>
        <rFont val="Noto Sans Symbols"/>
      </rPr>
      <t>Ø</t>
    </r>
    <r>
      <rPr>
        <b/>
        <sz val="20"/>
        <color theme="1"/>
        <rFont val="Times New Roman"/>
      </rPr>
      <t xml:space="preserve"> </t>
    </r>
    <r>
      <rPr>
        <b/>
        <strike/>
        <sz val="20"/>
        <color theme="1"/>
        <rFont val="Agency FB"/>
      </rPr>
      <t>Labour Card</t>
    </r>
    <r>
      <rPr>
        <b/>
        <sz val="20"/>
        <color theme="1"/>
        <rFont val="Agency FB"/>
      </rPr>
      <t>/Free Zone/Employer ID.</t>
    </r>
  </si>
  <si>
    <r>
      <rPr>
        <b/>
        <sz val="20"/>
        <color theme="1"/>
        <rFont val="Noto Sans Symbols"/>
      </rPr>
      <t>Ø</t>
    </r>
    <r>
      <rPr>
        <b/>
        <sz val="20"/>
        <color theme="1"/>
        <rFont val="Times New Roman"/>
      </rPr>
      <t xml:space="preserve"> </t>
    </r>
    <r>
      <rPr>
        <b/>
        <sz val="20"/>
        <color theme="1"/>
        <rFont val="Agency FB"/>
      </rPr>
      <t>Copy of the UAE Driver’s License Both Sides.</t>
    </r>
  </si>
  <si>
    <t>OTLNR</t>
  </si>
  <si>
    <r>
      <rPr>
        <b/>
        <sz val="20"/>
        <color theme="1"/>
        <rFont val="Noto Sans Symbols"/>
      </rPr>
      <t>Ø</t>
    </r>
    <r>
      <rPr>
        <b/>
        <sz val="20"/>
        <color theme="1"/>
        <rFont val="Times New Roman"/>
      </rPr>
      <t xml:space="preserve"> </t>
    </r>
    <r>
      <rPr>
        <b/>
        <sz val="20"/>
        <color theme="1"/>
        <rFont val="Agency FB"/>
      </rPr>
      <t>Current Dated Salary Certificate from The Employer.</t>
    </r>
  </si>
  <si>
    <r>
      <rPr>
        <b/>
        <sz val="20"/>
        <color theme="1"/>
        <rFont val="Noto Sans Symbols"/>
      </rPr>
      <t>Ø</t>
    </r>
    <r>
      <rPr>
        <b/>
        <sz val="20"/>
        <color theme="1"/>
        <rFont val="Times New Roman"/>
      </rPr>
      <t xml:space="preserve"> </t>
    </r>
    <r>
      <rPr>
        <b/>
        <sz val="20"/>
        <color theme="1"/>
        <rFont val="Agency FB"/>
      </rPr>
      <t>Pay Slips For The Last 3 Months-[If Variance In Salary ].</t>
    </r>
  </si>
  <si>
    <r>
      <rPr>
        <b/>
        <sz val="20"/>
        <color theme="1"/>
        <rFont val="Noto Sans Symbols"/>
      </rPr>
      <t>Ø</t>
    </r>
    <r>
      <rPr>
        <b/>
        <sz val="20"/>
        <color theme="1"/>
        <rFont val="Times New Roman"/>
      </rPr>
      <t xml:space="preserve"> </t>
    </r>
    <r>
      <rPr>
        <b/>
        <sz val="20"/>
        <color theme="1"/>
        <rFont val="Agency FB"/>
      </rPr>
      <t>IBAN.</t>
    </r>
  </si>
  <si>
    <t>Security Cheque for Bank - ( One Scurity Cheque bank need from your salary account after finance approval from the bank )</t>
  </si>
  <si>
    <t xml:space="preserve">***Please bring this Calculation Sheet at the time of submission of full documents (clear copies).  Interest rate may vary subject to salary and bank applied </t>
  </si>
  <si>
    <t xml:space="preserve">***This sheet is only communication between dealer and the customer, avoid discussing with bank personal </t>
  </si>
  <si>
    <r>
      <rPr>
        <sz val="16"/>
        <color theme="1"/>
        <rFont val="Bahnschrift SemiLight SemiConde"/>
      </rPr>
      <t xml:space="preserve">For Any Further Clarification On Finance Kindly Forward An Email : </t>
    </r>
    <r>
      <rPr>
        <b/>
        <sz val="20"/>
        <color theme="1"/>
        <rFont val="Bahnschrift SemiLight SemiConde"/>
      </rPr>
      <t>naveen@habtoormotors.com</t>
    </r>
    <r>
      <rPr>
        <sz val="20"/>
        <color theme="1"/>
        <rFont val="Bahnschrift SemiLight SemiConde"/>
      </rPr>
      <t xml:space="preserve"> Or Reach Us On Boardline 04-608-4000</t>
    </r>
    <r>
      <rPr>
        <sz val="16"/>
        <color theme="1"/>
        <rFont val="Bahnschrift SemiLight SemiConde"/>
      </rPr>
      <t>,For Any Further Clarification On The Vehicle[s] Kindly Coordinate With The Sales Team :-</t>
    </r>
  </si>
  <si>
    <t xml:space="preserve">Bachir </t>
  </si>
  <si>
    <r>
      <rPr>
        <sz val="16"/>
        <color rgb="FF000000"/>
        <rFont val="Noto Sans Symbols"/>
      </rPr>
      <t>Ø</t>
    </r>
    <r>
      <rPr>
        <sz val="16"/>
        <color rgb="FF000000"/>
        <rFont val="Times New Roman"/>
      </rPr>
      <t xml:space="preserve">  </t>
    </r>
    <r>
      <rPr>
        <sz val="16"/>
        <color rgb="FF000000"/>
        <rFont val="Bookman Old Style"/>
      </rPr>
      <t xml:space="preserve">Valid Trade License Copy –All Three Pages For [LLC] </t>
    </r>
  </si>
  <si>
    <r>
      <rPr>
        <sz val="16"/>
        <color rgb="FF000000"/>
        <rFont val="Noto Sans Symbols"/>
      </rPr>
      <t>Ø</t>
    </r>
    <r>
      <rPr>
        <sz val="16"/>
        <color rgb="FF000000"/>
        <rFont val="Times New Roman"/>
      </rPr>
      <t xml:space="preserve">  </t>
    </r>
    <r>
      <rPr>
        <sz val="16"/>
        <color rgb="FF000000"/>
        <rFont val="Bookman Old Style"/>
      </rPr>
      <t xml:space="preserve">Valid Passport Copies Of All Partners Including The Sponsor &amp; Valid UAE Residence Visa Copies For All Expatriate Partners ,Address Page For Indian Passport Holder Is Mandatory. </t>
    </r>
  </si>
  <si>
    <r>
      <rPr>
        <sz val="16"/>
        <color rgb="FF000000"/>
        <rFont val="Noto Sans Symbols"/>
      </rPr>
      <t>Ø</t>
    </r>
    <r>
      <rPr>
        <sz val="16"/>
        <color rgb="FF000000"/>
        <rFont val="Times New Roman"/>
      </rPr>
      <t xml:space="preserve">  </t>
    </r>
    <r>
      <rPr>
        <sz val="16"/>
        <color rgb="FF000000"/>
        <rFont val="Bookman Old Style"/>
      </rPr>
      <t xml:space="preserve">Valid Emirates ID Card Copy Both Sides For The Signatory. </t>
    </r>
  </si>
  <si>
    <r>
      <rPr>
        <sz val="16"/>
        <color rgb="FF000000"/>
        <rFont val="Noto Sans Symbols"/>
      </rPr>
      <t>Ø</t>
    </r>
    <r>
      <rPr>
        <sz val="16"/>
        <color rgb="FF000000"/>
        <rFont val="Times New Roman"/>
      </rPr>
      <t xml:space="preserve">  </t>
    </r>
    <r>
      <rPr>
        <sz val="16"/>
        <color rgb="FF000000"/>
        <rFont val="Bookman Old Style"/>
      </rPr>
      <t xml:space="preserve">Memorandum Of Association &amp; Copies Of Amendments. </t>
    </r>
  </si>
  <si>
    <r>
      <rPr>
        <sz val="16"/>
        <color rgb="FF000000"/>
        <rFont val="Noto Sans Symbols"/>
      </rPr>
      <t>Ø</t>
    </r>
    <r>
      <rPr>
        <sz val="16"/>
        <color rgb="FF000000"/>
        <rFont val="Times New Roman"/>
      </rPr>
      <t xml:space="preserve">  </t>
    </r>
    <r>
      <rPr>
        <sz val="16"/>
        <color rgb="FF000000"/>
        <rFont val="Bookman Old Style"/>
      </rPr>
      <t>Last Six Months bank statement from [From 1st December 2025-31st May 2026].</t>
    </r>
  </si>
  <si>
    <r>
      <rPr>
        <sz val="16"/>
        <color rgb="FF000000"/>
        <rFont val="Noto Sans Symbols"/>
      </rPr>
      <t>Ø</t>
    </r>
    <r>
      <rPr>
        <sz val="16"/>
        <color rgb="FF000000"/>
        <rFont val="Times New Roman"/>
      </rPr>
      <t xml:space="preserve">  </t>
    </r>
    <r>
      <rPr>
        <sz val="16"/>
        <color rgb="FF000000"/>
        <rFont val="Bookman Old Style"/>
      </rPr>
      <t xml:space="preserve">Vat Certificate Copy. </t>
    </r>
  </si>
  <si>
    <r>
      <rPr>
        <sz val="16"/>
        <color rgb="FF000000"/>
        <rFont val="Noto Sans Symbols"/>
      </rPr>
      <t>Ø</t>
    </r>
    <r>
      <rPr>
        <sz val="16"/>
        <color rgb="FF000000"/>
        <rFont val="Times New Roman"/>
      </rPr>
      <t xml:space="preserve">  </t>
    </r>
    <r>
      <rPr>
        <sz val="16"/>
        <color rgb="FF000000"/>
        <rFont val="Bookman Old Style"/>
      </rPr>
      <t xml:space="preserve">Tenancy Contract Copy </t>
    </r>
  </si>
  <si>
    <r>
      <rPr>
        <sz val="16"/>
        <color rgb="FF000000"/>
        <rFont val="Noto Sans Symbols"/>
      </rPr>
      <t>Ø</t>
    </r>
    <r>
      <rPr>
        <sz val="16"/>
        <color rgb="FF000000"/>
        <rFont val="Times New Roman"/>
      </rPr>
      <t xml:space="preserve">  </t>
    </r>
    <r>
      <rPr>
        <sz val="16"/>
        <color rgb="FF000000"/>
        <rFont val="Bookman Old Style"/>
      </rPr>
      <t xml:space="preserve">Vat Return Statements &amp; Receipts [Last Two Quarters]. </t>
    </r>
  </si>
  <si>
    <r>
      <rPr>
        <sz val="16"/>
        <color rgb="FF000000"/>
        <rFont val="Noto Sans Symbols"/>
      </rPr>
      <t>Ø</t>
    </r>
    <r>
      <rPr>
        <sz val="16"/>
        <color rgb="FF000000"/>
        <rFont val="Times New Roman"/>
      </rPr>
      <t xml:space="preserve">  </t>
    </r>
    <r>
      <rPr>
        <sz val="16"/>
        <color rgb="FF000000"/>
        <rFont val="Bookman Old Style"/>
      </rPr>
      <t xml:space="preserve">10 Recent Invoice Copies. [Sales &amp; Purchase Invoices]. </t>
    </r>
  </si>
  <si>
    <r>
      <rPr>
        <sz val="16"/>
        <color theme="1"/>
        <rFont val="Bahnschrift SemiLight SemiConde"/>
      </rPr>
      <t xml:space="preserve">For Any Further Clarification On Finance Kindly Forward An Email : </t>
    </r>
    <r>
      <rPr>
        <b/>
        <sz val="16"/>
        <color theme="1"/>
        <rFont val="Bahnschrift SemiLight SemiConde"/>
      </rPr>
      <t>naveen@habtoormotors.com</t>
    </r>
  </si>
  <si>
    <r>
      <rPr>
        <sz val="21"/>
        <color theme="1"/>
        <rFont val="Noto Sans Symbols"/>
      </rPr>
      <t>Ø</t>
    </r>
    <r>
      <rPr>
        <sz val="7"/>
        <color theme="1"/>
        <rFont val="Times New Roman"/>
      </rPr>
      <t xml:space="preserve"> </t>
    </r>
    <r>
      <rPr>
        <b/>
        <strike/>
        <sz val="21"/>
        <color theme="1"/>
        <rFont val="Agency FB"/>
      </rPr>
      <t>Labour Card</t>
    </r>
    <r>
      <rPr>
        <b/>
        <sz val="21"/>
        <color theme="1"/>
        <rFont val="Agency FB"/>
      </rPr>
      <t>/Free Zone/Employer ID.</t>
    </r>
  </si>
  <si>
    <r>
      <rPr>
        <sz val="21"/>
        <color theme="1"/>
        <rFont val="Noto Sans Symbols"/>
      </rPr>
      <t>Ø</t>
    </r>
    <r>
      <rPr>
        <sz val="7"/>
        <color theme="1"/>
        <rFont val="Times New Roman"/>
      </rPr>
      <t xml:space="preserve"> </t>
    </r>
    <r>
      <rPr>
        <b/>
        <sz val="21"/>
        <color theme="1"/>
        <rFont val="Agency FB"/>
      </rPr>
      <t>Copy of the UAE Driver’s License Both Sides.</t>
    </r>
  </si>
  <si>
    <r>
      <rPr>
        <sz val="21"/>
        <color theme="1"/>
        <rFont val="Noto Sans Symbols"/>
      </rPr>
      <t>Ø</t>
    </r>
    <r>
      <rPr>
        <sz val="7"/>
        <color theme="1"/>
        <rFont val="Times New Roman"/>
      </rPr>
      <t xml:space="preserve"> </t>
    </r>
    <r>
      <rPr>
        <b/>
        <sz val="21"/>
        <color theme="1"/>
        <rFont val="Agency FB"/>
      </rPr>
      <t>Current Dated Salary Certificate from The Employer.</t>
    </r>
  </si>
  <si>
    <r>
      <rPr>
        <sz val="21"/>
        <color theme="1"/>
        <rFont val="Noto Sans Symbols"/>
      </rPr>
      <t>Ø</t>
    </r>
    <r>
      <rPr>
        <sz val="7"/>
        <color theme="1"/>
        <rFont val="Times New Roman"/>
      </rPr>
      <t xml:space="preserve"> </t>
    </r>
    <r>
      <rPr>
        <b/>
        <sz val="21"/>
        <color theme="1"/>
        <rFont val="Agency FB"/>
      </rPr>
      <t>Pay Slips For The Last 3 Months-[If Variance In Salary ].</t>
    </r>
  </si>
  <si>
    <r>
      <rPr>
        <sz val="21"/>
        <color theme="1"/>
        <rFont val="Noto Sans Symbols"/>
      </rPr>
      <t>Ø</t>
    </r>
    <r>
      <rPr>
        <sz val="7"/>
        <color theme="1"/>
        <rFont val="Times New Roman"/>
      </rPr>
      <t xml:space="preserve"> </t>
    </r>
    <r>
      <rPr>
        <b/>
        <sz val="21"/>
        <color theme="1"/>
        <rFont val="Agency FB"/>
      </rPr>
      <t>IBAN.</t>
    </r>
  </si>
  <si>
    <t>Customer Name:</t>
  </si>
  <si>
    <t>Contact Number:</t>
  </si>
  <si>
    <t>Email ID :</t>
  </si>
  <si>
    <t>P61</t>
  </si>
  <si>
    <t>MY-2026</t>
  </si>
  <si>
    <t>Total Vehicle Value With Vat</t>
  </si>
  <si>
    <t xml:space="preserve">Down-Payment
</t>
  </si>
  <si>
    <t>1-Yr EMI</t>
  </si>
  <si>
    <t>Accessory</t>
  </si>
  <si>
    <t>ROI</t>
  </si>
  <si>
    <t>DIB LOCAL GVH</t>
  </si>
  <si>
    <r>
      <rPr>
        <sz val="20"/>
        <color theme="1"/>
        <rFont val="Noto Sans Symbols"/>
      </rPr>
      <t>Ø</t>
    </r>
    <r>
      <rPr>
        <sz val="20"/>
        <color theme="1"/>
        <rFont val="Times New Roman"/>
      </rPr>
      <t xml:space="preserve"> </t>
    </r>
    <r>
      <rPr>
        <sz val="20"/>
        <color theme="1"/>
        <rFont val="Agency FB"/>
      </rPr>
      <t>Passport Copy, Digital Visa &amp; Address Page For Indian Passport, Page #44 For Philippines Passport.</t>
    </r>
  </si>
  <si>
    <r>
      <rPr>
        <sz val="20"/>
        <color theme="1"/>
        <rFont val="Noto Sans Symbols"/>
      </rPr>
      <t>Ø</t>
    </r>
    <r>
      <rPr>
        <sz val="20"/>
        <color theme="1"/>
        <rFont val="Times New Roman"/>
      </rPr>
      <t xml:space="preserve"> </t>
    </r>
    <r>
      <rPr>
        <sz val="20"/>
        <color theme="1"/>
        <rFont val="Agency FB"/>
      </rPr>
      <t>Emirates ID Card Copy Both Sides.</t>
    </r>
  </si>
  <si>
    <r>
      <rPr>
        <sz val="20"/>
        <color theme="1"/>
        <rFont val="Noto Sans Symbols"/>
      </rPr>
      <t>Ø</t>
    </r>
    <r>
      <rPr>
        <sz val="20"/>
        <color theme="1"/>
        <rFont val="Times New Roman"/>
      </rPr>
      <t xml:space="preserve"> </t>
    </r>
    <r>
      <rPr>
        <strike/>
        <sz val="20"/>
        <color theme="1"/>
        <rFont val="Agency FB"/>
      </rPr>
      <t>Labour Card</t>
    </r>
    <r>
      <rPr>
        <sz val="20"/>
        <color theme="1"/>
        <rFont val="Agency FB"/>
      </rPr>
      <t>/Free Zone/Employer ID.</t>
    </r>
  </si>
  <si>
    <r>
      <rPr>
        <sz val="20"/>
        <color theme="1"/>
        <rFont val="Noto Sans Symbols"/>
      </rPr>
      <t>Ø</t>
    </r>
    <r>
      <rPr>
        <sz val="20"/>
        <color theme="1"/>
        <rFont val="Times New Roman"/>
      </rPr>
      <t xml:space="preserve"> </t>
    </r>
    <r>
      <rPr>
        <sz val="20"/>
        <color theme="1"/>
        <rFont val="Agency FB"/>
      </rPr>
      <t>Copy of the UAE Driver’s License Both Sides.</t>
    </r>
  </si>
  <si>
    <r>
      <rPr>
        <sz val="20"/>
        <color theme="1"/>
        <rFont val="Noto Sans Symbols"/>
      </rPr>
      <t>Ø</t>
    </r>
    <r>
      <rPr>
        <sz val="20"/>
        <color theme="1"/>
        <rFont val="Times New Roman"/>
      </rPr>
      <t xml:space="preserve"> </t>
    </r>
    <r>
      <rPr>
        <sz val="20"/>
        <color theme="1"/>
        <rFont val="Agency FB"/>
      </rPr>
      <t>Current Dated Salary Certificate from The Employer.</t>
    </r>
  </si>
  <si>
    <r>
      <rPr>
        <sz val="20"/>
        <color theme="1"/>
        <rFont val="Noto Sans Symbols"/>
      </rPr>
      <t>Ø</t>
    </r>
    <r>
      <rPr>
        <sz val="20"/>
        <color theme="1"/>
        <rFont val="Times New Roman"/>
      </rPr>
      <t xml:space="preserve"> </t>
    </r>
    <r>
      <rPr>
        <sz val="20"/>
        <color theme="1"/>
        <rFont val="Agency FB"/>
      </rPr>
      <t>Pay Slips For The Last 3 Months-[If Variance In Salary ].</t>
    </r>
  </si>
  <si>
    <r>
      <rPr>
        <sz val="20"/>
        <color theme="1"/>
        <rFont val="Noto Sans Symbols"/>
      </rPr>
      <t>Ø</t>
    </r>
    <r>
      <rPr>
        <sz val="20"/>
        <color theme="1"/>
        <rFont val="Times New Roman"/>
      </rPr>
      <t xml:space="preserve"> </t>
    </r>
    <r>
      <rPr>
        <sz val="20"/>
        <color theme="1"/>
        <rFont val="Agency FB"/>
      </rPr>
      <t>IBAN.</t>
    </r>
  </si>
  <si>
    <r>
      <rPr>
        <sz val="16"/>
        <color theme="1"/>
        <rFont val="Bahnschrift SemiLight SemiConde"/>
      </rPr>
      <t xml:space="preserve">For Any Further Clarification On Finance Kindly Forward An Email : </t>
    </r>
    <r>
      <rPr>
        <b/>
        <sz val="16"/>
        <color theme="1"/>
        <rFont val="Bahnschrift SemiLight SemiConde"/>
      </rPr>
      <t>naveen@habtoormotors.com</t>
    </r>
    <r>
      <rPr>
        <sz val="16"/>
        <color theme="1"/>
        <rFont val="Bahnschrift SemiLight SemiConde"/>
      </rPr>
      <t xml:space="preserve"> Or Reach Us On Boardline -04-608-4000</t>
    </r>
  </si>
  <si>
    <t>For Any Further Clarification On The Vehicle[s] Kindly Coordinate With The Sales Executive :-</t>
  </si>
  <si>
    <t>Simon Lobo</t>
  </si>
  <si>
    <r>
      <rPr>
        <sz val="13"/>
        <color rgb="FF000000"/>
        <rFont val="Noto Sans Symbols"/>
      </rPr>
      <t>Ø</t>
    </r>
    <r>
      <rPr>
        <sz val="7"/>
        <color rgb="FF000000"/>
        <rFont val="Times New Roman"/>
      </rPr>
      <t xml:space="preserve">  </t>
    </r>
    <r>
      <rPr>
        <sz val="13"/>
        <color rgb="FF000000"/>
        <rFont val="Bookman Old Style"/>
      </rPr>
      <t xml:space="preserve">Valid Trade License Copy –All Three Pages For [LLC] </t>
    </r>
  </si>
  <si>
    <r>
      <rPr>
        <sz val="13"/>
        <color rgb="FF000000"/>
        <rFont val="Noto Sans Symbols"/>
      </rPr>
      <t>Ø</t>
    </r>
    <r>
      <rPr>
        <sz val="7"/>
        <color rgb="FF000000"/>
        <rFont val="Times New Roman"/>
      </rPr>
      <t xml:space="preserve">  </t>
    </r>
    <r>
      <rPr>
        <sz val="13"/>
        <color rgb="FF000000"/>
        <rFont val="Bookman Old Style"/>
      </rPr>
      <t xml:space="preserve">Valid Passport Copies Of All Partners Including The Sponsor &amp; Valid UAE Residence Visa Copies For All Expatriate Partners ,Address Page For Indian Passport Holder Is Mandatory. </t>
    </r>
  </si>
  <si>
    <r>
      <rPr>
        <sz val="13"/>
        <color rgb="FF000000"/>
        <rFont val="Noto Sans Symbols"/>
      </rPr>
      <t>Ø</t>
    </r>
    <r>
      <rPr>
        <sz val="7"/>
        <color rgb="FF000000"/>
        <rFont val="Times New Roman"/>
      </rPr>
      <t xml:space="preserve">  </t>
    </r>
    <r>
      <rPr>
        <sz val="13"/>
        <color rgb="FF000000"/>
        <rFont val="Bookman Old Style"/>
      </rPr>
      <t xml:space="preserve">Valid Emirates ID Card Copy Both Sides For The Signatory. </t>
    </r>
  </si>
  <si>
    <r>
      <rPr>
        <sz val="13"/>
        <color rgb="FF000000"/>
        <rFont val="Noto Sans Symbols"/>
      </rPr>
      <t>Ø</t>
    </r>
    <r>
      <rPr>
        <sz val="7"/>
        <color rgb="FF000000"/>
        <rFont val="Times New Roman"/>
      </rPr>
      <t xml:space="preserve">  </t>
    </r>
    <r>
      <rPr>
        <sz val="13"/>
        <color rgb="FF000000"/>
        <rFont val="Bookman Old Style"/>
      </rPr>
      <t xml:space="preserve">Memorandum Of Association &amp; Copies Of Amendments. </t>
    </r>
  </si>
  <si>
    <r>
      <rPr>
        <sz val="13"/>
        <color rgb="FF000000"/>
        <rFont val="Noto Sans Symbols"/>
      </rPr>
      <t>Ø</t>
    </r>
    <r>
      <rPr>
        <sz val="7"/>
        <color rgb="FF000000"/>
        <rFont val="Times New Roman"/>
      </rPr>
      <t xml:space="preserve">  </t>
    </r>
    <r>
      <rPr>
        <sz val="13"/>
        <color rgb="FF000000"/>
        <rFont val="Bookman Old Style"/>
      </rPr>
      <t>Last Six Months bank statement from [From 1st January 2026-30th July  2026].</t>
    </r>
  </si>
  <si>
    <r>
      <rPr>
        <sz val="13"/>
        <color rgb="FF000000"/>
        <rFont val="Noto Sans Symbols"/>
      </rPr>
      <t>Ø</t>
    </r>
    <r>
      <rPr>
        <sz val="7"/>
        <color rgb="FF000000"/>
        <rFont val="Times New Roman"/>
      </rPr>
      <t xml:space="preserve">  </t>
    </r>
    <r>
      <rPr>
        <sz val="13"/>
        <color rgb="FF000000"/>
        <rFont val="Bookman Old Style"/>
      </rPr>
      <t xml:space="preserve">Vat Certificate Copy. </t>
    </r>
  </si>
  <si>
    <r>
      <rPr>
        <sz val="13"/>
        <color rgb="FF000000"/>
        <rFont val="Noto Sans Symbols"/>
      </rPr>
      <t>Ø</t>
    </r>
    <r>
      <rPr>
        <sz val="7"/>
        <color rgb="FF000000"/>
        <rFont val="Times New Roman"/>
      </rPr>
      <t xml:space="preserve">  </t>
    </r>
    <r>
      <rPr>
        <sz val="13"/>
        <color rgb="FF000000"/>
        <rFont val="Bookman Old Style"/>
      </rPr>
      <t xml:space="preserve">Tenancy Contract Copy </t>
    </r>
  </si>
  <si>
    <r>
      <rPr>
        <sz val="13"/>
        <color rgb="FF000000"/>
        <rFont val="Noto Sans Symbols"/>
      </rPr>
      <t>Ø</t>
    </r>
    <r>
      <rPr>
        <sz val="7"/>
        <color rgb="FF000000"/>
        <rFont val="Times New Roman"/>
      </rPr>
      <t xml:space="preserve">  </t>
    </r>
    <r>
      <rPr>
        <sz val="13"/>
        <color rgb="FF000000"/>
        <rFont val="Bookman Old Style"/>
      </rPr>
      <t xml:space="preserve">Vat Return Statements &amp; Receipts [Last Two Quarters]. </t>
    </r>
  </si>
  <si>
    <r>
      <rPr>
        <sz val="13"/>
        <color rgb="FF000000"/>
        <rFont val="Noto Sans Symbols"/>
      </rPr>
      <t>Ø</t>
    </r>
    <r>
      <rPr>
        <sz val="7"/>
        <color rgb="FF000000"/>
        <rFont val="Times New Roman"/>
      </rPr>
      <t xml:space="preserve">  </t>
    </r>
    <r>
      <rPr>
        <sz val="13"/>
        <color rgb="FF000000"/>
        <rFont val="Bookman Old Style"/>
      </rPr>
      <t xml:space="preserve">10 Recent Invoice Copies. [Sales &amp; Purchase Invoices]. </t>
    </r>
  </si>
  <si>
    <r>
      <rPr>
        <sz val="12"/>
        <color theme="1"/>
        <rFont val="Bahnschrift SemiLight SemiConde"/>
      </rPr>
      <t xml:space="preserve">For Any Further Clarification On Finance Kindly Forward An Email : </t>
    </r>
    <r>
      <rPr>
        <b/>
        <sz val="12"/>
        <color theme="1"/>
        <rFont val="Bahnschrift SemiLight SemiConde"/>
      </rPr>
      <t>naveen@habtoormotors.com</t>
    </r>
  </si>
  <si>
    <r>
      <rPr>
        <sz val="21"/>
        <color theme="1"/>
        <rFont val="Noto Sans Symbols"/>
      </rPr>
      <t>Ø</t>
    </r>
    <r>
      <rPr>
        <sz val="7"/>
        <color theme="1"/>
        <rFont val="Times New Roman"/>
      </rPr>
      <t xml:space="preserve"> </t>
    </r>
    <r>
      <rPr>
        <b/>
        <strike/>
        <sz val="21"/>
        <color theme="1"/>
        <rFont val="Agency FB"/>
      </rPr>
      <t>Labour Card</t>
    </r>
    <r>
      <rPr>
        <b/>
        <sz val="21"/>
        <color theme="1"/>
        <rFont val="Agency FB"/>
      </rPr>
      <t>/Free Zone/Employer ID.</t>
    </r>
  </si>
  <si>
    <r>
      <rPr>
        <sz val="21"/>
        <color theme="1"/>
        <rFont val="Noto Sans Symbols"/>
      </rPr>
      <t>Ø</t>
    </r>
    <r>
      <rPr>
        <sz val="7"/>
        <color theme="1"/>
        <rFont val="Times New Roman"/>
      </rPr>
      <t xml:space="preserve"> </t>
    </r>
    <r>
      <rPr>
        <b/>
        <sz val="21"/>
        <color theme="1"/>
        <rFont val="Agency FB"/>
      </rPr>
      <t>Copy of the UAE Driver’s License Both Sides.</t>
    </r>
  </si>
  <si>
    <r>
      <rPr>
        <sz val="21"/>
        <color theme="1"/>
        <rFont val="Noto Sans Symbols"/>
      </rPr>
      <t>Ø</t>
    </r>
    <r>
      <rPr>
        <sz val="7"/>
        <color theme="1"/>
        <rFont val="Times New Roman"/>
      </rPr>
      <t xml:space="preserve"> </t>
    </r>
    <r>
      <rPr>
        <b/>
        <sz val="21"/>
        <color theme="1"/>
        <rFont val="Agency FB"/>
      </rPr>
      <t>Current Dated Salary Certificate from The Employer.</t>
    </r>
  </si>
  <si>
    <r>
      <rPr>
        <sz val="21"/>
        <color theme="1"/>
        <rFont val="Noto Sans Symbols"/>
      </rPr>
      <t>Ø</t>
    </r>
    <r>
      <rPr>
        <sz val="7"/>
        <color theme="1"/>
        <rFont val="Times New Roman"/>
      </rPr>
      <t xml:space="preserve"> </t>
    </r>
    <r>
      <rPr>
        <b/>
        <sz val="21"/>
        <color theme="1"/>
        <rFont val="Agency FB"/>
      </rPr>
      <t>Pay Slips For The Last 3 Months-[If Variance In Salary ].</t>
    </r>
  </si>
  <si>
    <r>
      <rPr>
        <sz val="21"/>
        <color theme="1"/>
        <rFont val="Noto Sans Symbols"/>
      </rPr>
      <t>Ø</t>
    </r>
    <r>
      <rPr>
        <sz val="7"/>
        <color theme="1"/>
        <rFont val="Times New Roman"/>
      </rPr>
      <t xml:space="preserve"> </t>
    </r>
    <r>
      <rPr>
        <b/>
        <sz val="21"/>
        <color theme="1"/>
        <rFont val="Agency FB"/>
      </rPr>
      <t>IBAN.</t>
    </r>
  </si>
  <si>
    <t>Vehicle Model</t>
  </si>
  <si>
    <t>Vehicle Name</t>
  </si>
  <si>
    <t>Variant Codes</t>
  </si>
  <si>
    <t>Montero Sport (2025)</t>
  </si>
  <si>
    <t>Montero P61</t>
  </si>
  <si>
    <t>Montero G61</t>
  </si>
  <si>
    <t>MOG61</t>
  </si>
  <si>
    <t>Montero G59 P</t>
  </si>
  <si>
    <t>MOG59P</t>
  </si>
  <si>
    <t>Montero G59</t>
  </si>
  <si>
    <t>MOG59</t>
  </si>
  <si>
    <t>Montero G64</t>
  </si>
  <si>
    <t>MOG64</t>
  </si>
  <si>
    <t>Montero P57</t>
  </si>
  <si>
    <t>MOP57</t>
  </si>
  <si>
    <t>Outlander (2025)</t>
  </si>
  <si>
    <t>Outlander P08P</t>
  </si>
  <si>
    <t>OTP08</t>
  </si>
  <si>
    <t>Outlander F08</t>
  </si>
  <si>
    <t>OTF08</t>
  </si>
  <si>
    <t>Outlander P06-01</t>
  </si>
  <si>
    <t>OTP06-01</t>
  </si>
  <si>
    <t>Outlander P06</t>
  </si>
  <si>
    <t>OTP06</t>
  </si>
  <si>
    <t>Outlander F06</t>
  </si>
  <si>
    <t>OTF06</t>
  </si>
  <si>
    <t>Outlander P03</t>
  </si>
  <si>
    <t>OTP03</t>
  </si>
  <si>
    <t>Outlander F03</t>
  </si>
  <si>
    <t>OTF03</t>
  </si>
  <si>
    <t>Xpander (2025)</t>
  </si>
  <si>
    <t>Xpander Cross</t>
  </si>
  <si>
    <t>XC</t>
  </si>
  <si>
    <t>Xpander ML P-01</t>
  </si>
  <si>
    <t>XPMLP-01</t>
  </si>
  <si>
    <t>Xpander ML P</t>
  </si>
  <si>
    <t>XPMLP</t>
  </si>
  <si>
    <t>Xpander HL</t>
  </si>
  <si>
    <t>XPHL</t>
  </si>
  <si>
    <t>Xpander ML</t>
  </si>
  <si>
    <t>XPML</t>
  </si>
  <si>
    <t>Eclipse Cross (2025)</t>
  </si>
  <si>
    <t>Eclipse G43</t>
  </si>
  <si>
    <t>ECG43</t>
  </si>
  <si>
    <t>Eclipse G40</t>
  </si>
  <si>
    <t>ECG40</t>
  </si>
  <si>
    <t>Eclipse G37</t>
  </si>
  <si>
    <t>ECG37</t>
  </si>
  <si>
    <t>Eclipse G38</t>
  </si>
  <si>
    <t>ECG38</t>
  </si>
  <si>
    <t>ASX (2025)</t>
  </si>
  <si>
    <t>ASX G45</t>
  </si>
  <si>
    <t>ASG45</t>
  </si>
  <si>
    <t>ASX G44</t>
  </si>
  <si>
    <t>ASG44</t>
  </si>
  <si>
    <t>ASX G42</t>
  </si>
  <si>
    <t>ASG42</t>
  </si>
  <si>
    <t>ASXG40</t>
  </si>
  <si>
    <t>ASG40</t>
  </si>
  <si>
    <t>ASX G43</t>
  </si>
  <si>
    <t>ASG43</t>
  </si>
  <si>
    <t>ASX G48</t>
  </si>
  <si>
    <t>ASG48</t>
  </si>
  <si>
    <t>Attrage (2025)</t>
  </si>
  <si>
    <t>Attrage G17</t>
  </si>
  <si>
    <t>ATG17</t>
  </si>
  <si>
    <t>Attrage G16</t>
  </si>
  <si>
    <t>ATG16</t>
  </si>
  <si>
    <t>Mirage (2025)</t>
  </si>
  <si>
    <t>MirageG10</t>
  </si>
  <si>
    <t>MIG10</t>
  </si>
  <si>
    <t>Mirage G09</t>
  </si>
  <si>
    <t>MIG09</t>
  </si>
  <si>
    <t>Mirage (2026)</t>
  </si>
  <si>
    <t>Attrage (2026)</t>
  </si>
  <si>
    <t>Attrage H16</t>
  </si>
  <si>
    <t>H16</t>
  </si>
  <si>
    <t>Attrage P16</t>
  </si>
  <si>
    <t>P16</t>
  </si>
  <si>
    <t>Attrage H17</t>
  </si>
  <si>
    <t>H17</t>
  </si>
  <si>
    <t>Destinator (2026)</t>
  </si>
  <si>
    <t>Destinator HL</t>
  </si>
  <si>
    <t>HL</t>
  </si>
  <si>
    <t>Destinator HLP</t>
  </si>
  <si>
    <t>HLP</t>
  </si>
  <si>
    <t>Destinator ML</t>
  </si>
  <si>
    <t>ML</t>
  </si>
  <si>
    <t>Destinator MLP</t>
  </si>
  <si>
    <t>MLP</t>
  </si>
  <si>
    <t>Destinator PR</t>
  </si>
  <si>
    <t>PR</t>
  </si>
  <si>
    <t>Destinator PRP</t>
  </si>
  <si>
    <t>PRP</t>
  </si>
  <si>
    <t>Montero Sport (2026)</t>
  </si>
  <si>
    <t>H59</t>
  </si>
  <si>
    <t>H61</t>
  </si>
  <si>
    <t>P59</t>
  </si>
  <si>
    <t>P57</t>
  </si>
  <si>
    <t>H64</t>
  </si>
  <si>
    <t>Montero H57</t>
  </si>
  <si>
    <t>H57</t>
  </si>
  <si>
    <t>Outlander (2026)</t>
  </si>
  <si>
    <t>Outlander P08</t>
  </si>
  <si>
    <t>P08</t>
  </si>
  <si>
    <t>Outlander P09</t>
  </si>
  <si>
    <t>P09</t>
  </si>
  <si>
    <t>Outlander G09</t>
  </si>
  <si>
    <t>G09</t>
  </si>
  <si>
    <t>Outlander G08</t>
  </si>
  <si>
    <t>G08</t>
  </si>
  <si>
    <t>Outlander G05</t>
  </si>
  <si>
    <t>G05</t>
  </si>
  <si>
    <t>Outlander P05</t>
  </si>
  <si>
    <t>P05</t>
  </si>
  <si>
    <t>Outlander G12</t>
  </si>
  <si>
    <t>G12</t>
  </si>
  <si>
    <t>Outlander P12</t>
  </si>
  <si>
    <t>P12</t>
  </si>
  <si>
    <t>P06</t>
  </si>
  <si>
    <t>P03</t>
  </si>
  <si>
    <t>Outlander G06</t>
  </si>
  <si>
    <t>G06</t>
  </si>
  <si>
    <t>Outlander G03</t>
  </si>
  <si>
    <t>G03</t>
  </si>
  <si>
    <t>Outlander G10</t>
  </si>
  <si>
    <t>G10</t>
  </si>
  <si>
    <t>Outlander P10</t>
  </si>
  <si>
    <t>P10</t>
  </si>
  <si>
    <t>Xpander (2026)</t>
  </si>
  <si>
    <t>Eclipse Cross (2026)</t>
  </si>
  <si>
    <t>Eclipse H37</t>
  </si>
  <si>
    <t>H37</t>
  </si>
  <si>
    <t>Eclipse H38</t>
  </si>
  <si>
    <t>H38</t>
  </si>
  <si>
    <t>Eclipse H40</t>
  </si>
  <si>
    <t>EH40</t>
  </si>
  <si>
    <t>Eclipse H43</t>
  </si>
  <si>
    <t>EH43</t>
  </si>
  <si>
    <t>ASX (2026)</t>
  </si>
  <si>
    <t>ASX H45</t>
  </si>
  <si>
    <t>H45</t>
  </si>
  <si>
    <t>ASX H48</t>
  </si>
  <si>
    <t>H48</t>
  </si>
  <si>
    <t>ASX H42</t>
  </si>
  <si>
    <t>H42</t>
  </si>
  <si>
    <t>ASX H44</t>
  </si>
  <si>
    <t>H44</t>
  </si>
  <si>
    <t>ASX H40</t>
  </si>
  <si>
    <t>H40</t>
  </si>
  <si>
    <t>ASX H43</t>
  </si>
  <si>
    <t>H43</t>
  </si>
  <si>
    <t>Sr No</t>
  </si>
  <si>
    <t>Bank Name</t>
  </si>
  <si>
    <t>ADCB</t>
  </si>
  <si>
    <t>5000-19999</t>
  </si>
  <si>
    <t>20000-40000</t>
  </si>
  <si>
    <t>Emirates NBD</t>
  </si>
  <si>
    <t>4000-14999</t>
  </si>
  <si>
    <t>15000-29999</t>
  </si>
  <si>
    <t>30000-49999</t>
  </si>
  <si>
    <t>50000-99999</t>
  </si>
  <si>
    <t>10000-14999</t>
  </si>
  <si>
    <t>15000-24999</t>
  </si>
  <si>
    <t>25000-34999</t>
  </si>
  <si>
    <t>35000-99999</t>
  </si>
  <si>
    <t>RMC-10-40</t>
  </si>
  <si>
    <t>RMC-10-60</t>
  </si>
  <si>
    <t>RMC-10-70</t>
  </si>
  <si>
    <t>RMC-10-100</t>
  </si>
  <si>
    <t>DIB Local GVH</t>
  </si>
  <si>
    <t>DIB Expat</t>
  </si>
  <si>
    <t>10000-19999</t>
  </si>
  <si>
    <t>20000-34999</t>
  </si>
  <si>
    <t>35000-49999</t>
  </si>
  <si>
    <t>SIB STL-Local</t>
  </si>
  <si>
    <t>SIB NON STL-Local</t>
  </si>
  <si>
    <t>SIB STL-Expat</t>
  </si>
  <si>
    <t>SIB NON STL-Expat</t>
  </si>
  <si>
    <t xml:space="preserve">Model Year </t>
  </si>
  <si>
    <t xml:space="preserve">Varaint </t>
  </si>
  <si>
    <t>Montero Sport</t>
  </si>
  <si>
    <t xml:space="preserve">Outlander </t>
  </si>
  <si>
    <t xml:space="preserve">Xpander </t>
  </si>
  <si>
    <t>Eclipse Cross</t>
  </si>
  <si>
    <t xml:space="preserve">ASX </t>
  </si>
  <si>
    <t xml:space="preserve">Attrage </t>
  </si>
  <si>
    <t xml:space="preserve">Destinator </t>
  </si>
  <si>
    <t>Xpander</t>
  </si>
  <si>
    <t xml:space="preserve">Eclipse Cross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</si>
</sst>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"/>
    <numFmt numFmtId="165" formatCode="[$-409]mmmm\ d\,\ yyyy"/>
    <numFmt numFmtId="166" formatCode="#,##0.00000"/>
  </numFmts>
  <fonts count="63">
    <font>
      <sz val="11"/>
      <color theme="1"/>
      <name val="Aptos Narrow"/>
      <scheme val="minor"/>
    </font>
    <font>
      <sz val="21"/>
      <color rgb="FF404040"/>
      <name val="Quattrocento Sans"/>
    </font>
    <font>
      <sz val="12"/>
      <color rgb="FF404040"/>
      <name val="Quattrocento Sans"/>
    </font>
    <font>
      <sz val="17"/>
      <color rgb="FF404040"/>
      <name val="Quattrocento Sans"/>
    </font>
    <font>
      <sz val="14"/>
      <color rgb="FF404040"/>
      <name val="Quattrocento Sans"/>
    </font>
    <font>
      <b/>
      <sz val="12"/>
      <color rgb="FF404040"/>
      <name val="Quattrocento Sans"/>
    </font>
    <font>
      <sz val="12"/>
      <color theme="1"/>
      <name val="Bookman Old Style"/>
    </font>
    <font>
      <b/>
      <sz val="72"/>
      <color theme="1"/>
      <name val="Bahnschrift SemiLight SemiConde"/>
    </font>
    <font>
      <sz val="11"/>
      <name val="Aptos Narrow"/>
    </font>
    <font>
      <sz val="16"/>
      <color theme="1"/>
      <name val="Bookman Old Style"/>
    </font>
    <font>
      <b/>
      <sz val="16"/>
      <color theme="1"/>
      <name val="Bookman Old Style"/>
    </font>
    <font>
      <b/>
      <sz val="20"/>
      <color theme="1"/>
      <name val="Bahnschrift SemiLight SemiConde"/>
    </font>
    <font>
      <b/>
      <sz val="20"/>
      <color rgb="FFFF0000"/>
      <name val="Bahnschrift SemiLight SemiConde"/>
    </font>
    <font>
      <sz val="20"/>
      <color theme="1"/>
      <name val="Bahnschrift SemiLight SemiConde"/>
    </font>
    <font>
      <sz val="20"/>
      <color theme="0"/>
      <name val="Bahnschrift SemiLight SemiConde"/>
    </font>
    <font>
      <sz val="16"/>
      <color theme="1"/>
      <name val="Bahnschrift SemiLight SemiConde"/>
    </font>
    <font>
      <b/>
      <sz val="12"/>
      <color theme="1"/>
      <name val="Bookman Old Style"/>
    </font>
    <font>
      <b/>
      <sz val="20"/>
      <color rgb="FFFFFF00"/>
      <name val="Bahnschrift SemiLight SemiConde"/>
    </font>
    <font>
      <b/>
      <sz val="20"/>
      <color theme="0"/>
      <name val="Bahnschrift SemiLight SemiConde"/>
    </font>
    <font>
      <sz val="12"/>
      <color theme="1"/>
      <name val="Bahnschrift SemiLight SemiConde"/>
    </font>
    <font>
      <sz val="16"/>
      <color rgb="FFFF0000"/>
      <name val="Bookman Old Style"/>
    </font>
    <font>
      <b/>
      <sz val="16"/>
      <color theme="1"/>
      <name val="Bahnschrift SemiLight SemiConde"/>
    </font>
    <font>
      <sz val="20"/>
      <color rgb="FFFF0000"/>
      <name val="Bahnschrift SemiLight SemiConde"/>
    </font>
    <font>
      <b/>
      <sz val="20"/>
      <color theme="1"/>
      <name val="Noto Sans Symbols"/>
    </font>
    <font>
      <b/>
      <sz val="20"/>
      <color theme="1"/>
      <name val="Bookman Old Style"/>
    </font>
    <font>
      <b/>
      <sz val="20"/>
      <color theme="0"/>
      <name val="Bookman Old Style"/>
    </font>
    <font>
      <sz val="16"/>
      <color rgb="FF000000"/>
      <name val="Noto Sans Symbols"/>
    </font>
    <font>
      <i/>
      <sz val="16"/>
      <color rgb="FF000000"/>
      <name val="Bookman Old Style"/>
    </font>
    <font>
      <i/>
      <sz val="16"/>
      <color theme="1"/>
      <name val="Bookman Old Style"/>
    </font>
    <font>
      <b/>
      <i/>
      <sz val="16"/>
      <color theme="1"/>
      <name val="Bookman Old Style"/>
    </font>
    <font>
      <sz val="21"/>
      <color theme="1"/>
      <name val="Noto Sans Symbols"/>
    </font>
    <font>
      <sz val="12"/>
      <color rgb="FFFF0000"/>
      <name val="Bookman Old Style"/>
    </font>
    <font>
      <sz val="12"/>
      <color rgb="FFFF0000"/>
      <name val="Bahnschrift SemiLight SemiConde"/>
    </font>
    <font>
      <sz val="20"/>
      <color theme="1"/>
      <name val="Bookman Old Style"/>
    </font>
    <font>
      <sz val="20"/>
      <color theme="1"/>
      <name val="Noto Sans Symbols"/>
    </font>
    <font>
      <sz val="20"/>
      <color theme="0"/>
      <name val="Bookman Old Style"/>
    </font>
    <font>
      <b/>
      <sz val="12"/>
      <color theme="1"/>
      <name val="Bahnschrift SemiLight SemiConde"/>
    </font>
    <font>
      <b/>
      <sz val="16"/>
      <color theme="0"/>
      <name val="Bahnschrift SemiLight SemiConde"/>
    </font>
    <font>
      <sz val="16"/>
      <color theme="0"/>
      <name val="Bahnschrift SemiLight SemiConde"/>
    </font>
    <font>
      <sz val="13"/>
      <color rgb="FF000000"/>
      <name val="Noto Sans Symbols"/>
    </font>
    <font>
      <i/>
      <sz val="12"/>
      <color rgb="FF000000"/>
      <name val="Bookman Old Style"/>
    </font>
    <font>
      <i/>
      <sz val="12"/>
      <color theme="1"/>
      <name val="Bookman Old Style"/>
    </font>
    <font>
      <b/>
      <i/>
      <sz val="12"/>
      <color theme="1"/>
      <name val="Bookman Old Style"/>
    </font>
    <font>
      <b/>
      <sz val="11"/>
      <color theme="1"/>
      <name val="Calibri"/>
    </font>
    <font>
      <b/>
      <sz val="11"/>
      <color theme="1"/>
      <name val="Aptos Narrow"/>
    </font>
    <font>
      <sz val="11"/>
      <color theme="1"/>
      <name val="Calibri"/>
    </font>
    <font>
      <sz val="11"/>
      <color theme="1"/>
      <name val="Arial"/>
    </font>
    <font>
      <sz val="12"/>
      <color rgb="FF404040"/>
      <name val="Segoe UI"/>
    </font>
    <font>
      <b/>
      <sz val="20"/>
      <color theme="1"/>
      <name val="Times New Roman"/>
    </font>
    <font>
      <b/>
      <sz val="20"/>
      <color theme="1"/>
      <name val="Agency FB"/>
    </font>
    <font>
      <b/>
      <strike/>
      <sz val="20"/>
      <color theme="1"/>
      <name val="Agency FB"/>
    </font>
    <font>
      <sz val="16"/>
      <color rgb="FF000000"/>
      <name val="Times New Roman"/>
    </font>
    <font>
      <sz val="16"/>
      <color rgb="FF000000"/>
      <name val="Bookman Old Style"/>
    </font>
    <font>
      <sz val="7"/>
      <color theme="1"/>
      <name val="Times New Roman"/>
    </font>
    <font>
      <b/>
      <strike/>
      <sz val="21"/>
      <color theme="1"/>
      <name val="Agency FB"/>
    </font>
    <font>
      <b/>
      <sz val="21"/>
      <color theme="1"/>
      <name val="Agency FB"/>
    </font>
    <font>
      <sz val="20"/>
      <color theme="1"/>
      <name val="Times New Roman"/>
    </font>
    <font>
      <sz val="20"/>
      <color theme="1"/>
      <name val="Agency FB"/>
    </font>
    <font>
      <strike/>
      <sz val="20"/>
      <color theme="1"/>
      <name val="Agency FB"/>
    </font>
    <font>
      <sz val="7"/>
      <color rgb="FF000000"/>
      <name val="Times New Roman"/>
    </font>
    <font>
      <sz val="13"/>
      <color rgb="FF000000"/>
      <name val="Bookman Old Style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CAEDFB"/>
        <bgColor rgb="FFCAEDFB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02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4" fontId="9" fillId="0" borderId="0" xfId="0" applyNumberFormat="1" applyFont="1"/>
    <xf numFmtId="0" fontId="9" fillId="0" borderId="0" xfId="0" applyFont="1"/>
    <xf numFmtId="164" fontId="9" fillId="0" borderId="0" xfId="0" applyNumberFormat="1" applyFont="1"/>
    <xf numFmtId="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165" fontId="11" fillId="0" borderId="9" xfId="0" applyNumberFormat="1" applyFont="1" applyBorder="1" applyAlignment="1">
      <alignment horizontal="left"/>
    </xf>
    <xf numFmtId="165" fontId="11" fillId="0" borderId="9" xfId="0" applyNumberFormat="1" applyFont="1" applyBorder="1" applyAlignment="1">
      <alignment horizontal="center"/>
    </xf>
    <xf numFmtId="4" fontId="12" fillId="2" borderId="9" xfId="0" applyNumberFormat="1" applyFont="1" applyFill="1" applyBorder="1" applyAlignment="1">
      <alignment horizontal="center"/>
    </xf>
    <xf numFmtId="4" fontId="11" fillId="0" borderId="9" xfId="0" applyNumberFormat="1" applyFont="1" applyBorder="1" applyAlignment="1">
      <alignment horizontal="center"/>
    </xf>
    <xf numFmtId="4" fontId="13" fillId="0" borderId="9" xfId="0" applyNumberFormat="1" applyFont="1" applyBorder="1"/>
    <xf numFmtId="4" fontId="13" fillId="0" borderId="9" xfId="0" applyNumberFormat="1" applyFont="1" applyBorder="1" applyAlignment="1">
      <alignment horizontal="center"/>
    </xf>
    <xf numFmtId="4" fontId="14" fillId="0" borderId="9" xfId="0" applyNumberFormat="1" applyFont="1" applyBorder="1"/>
    <xf numFmtId="9" fontId="14" fillId="0" borderId="9" xfId="0" applyNumberFormat="1" applyFont="1" applyBorder="1" applyAlignment="1">
      <alignment horizontal="center"/>
    </xf>
    <xf numFmtId="10" fontId="14" fillId="0" borderId="9" xfId="0" applyNumberFormat="1" applyFont="1" applyBorder="1" applyAlignment="1">
      <alignment horizontal="center"/>
    </xf>
    <xf numFmtId="4" fontId="15" fillId="0" borderId="0" xfId="0" applyNumberFormat="1" applyFont="1"/>
    <xf numFmtId="4" fontId="16" fillId="3" borderId="10" xfId="0" applyNumberFormat="1" applyFont="1" applyFill="1" applyBorder="1" applyAlignment="1">
      <alignment vertical="center" wrapText="1"/>
    </xf>
    <xf numFmtId="4" fontId="11" fillId="3" borderId="9" xfId="0" applyNumberFormat="1" applyFont="1" applyFill="1" applyBorder="1" applyAlignment="1">
      <alignment vertical="center" wrapText="1"/>
    </xf>
    <xf numFmtId="4" fontId="11" fillId="3" borderId="9" xfId="0" applyNumberFormat="1" applyFont="1" applyFill="1" applyBorder="1" applyAlignment="1">
      <alignment horizontal="center" vertical="center" wrapText="1"/>
    </xf>
    <xf numFmtId="4" fontId="15" fillId="0" borderId="0" xfId="0" applyNumberFormat="1" applyFont="1" applyAlignment="1">
      <alignment vertical="center" wrapText="1"/>
    </xf>
    <xf numFmtId="4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164" fontId="9" fillId="0" borderId="0" xfId="0" applyNumberFormat="1" applyFont="1" applyAlignment="1">
      <alignment vertical="center" wrapText="1"/>
    </xf>
    <xf numFmtId="4" fontId="6" fillId="4" borderId="10" xfId="0" applyNumberFormat="1" applyFont="1" applyFill="1" applyBorder="1" applyAlignment="1">
      <alignment horizontal="center"/>
    </xf>
    <xf numFmtId="164" fontId="11" fillId="5" borderId="9" xfId="0" applyNumberFormat="1" applyFont="1" applyFill="1" applyBorder="1" applyAlignment="1">
      <alignment horizontal="center"/>
    </xf>
    <xf numFmtId="9" fontId="6" fillId="0" borderId="0" xfId="0" applyNumberFormat="1" applyFont="1"/>
    <xf numFmtId="164" fontId="11" fillId="2" borderId="9" xfId="0" applyNumberFormat="1" applyFont="1" applyFill="1" applyBorder="1" applyAlignment="1">
      <alignment horizontal="center"/>
    </xf>
    <xf numFmtId="164" fontId="17" fillId="2" borderId="9" xfId="0" applyNumberFormat="1" applyFont="1" applyFill="1" applyBorder="1" applyAlignment="1">
      <alignment horizontal="center"/>
    </xf>
    <xf numFmtId="4" fontId="11" fillId="0" borderId="9" xfId="0" applyNumberFormat="1" applyFont="1" applyBorder="1" applyAlignment="1">
      <alignment wrapText="1"/>
    </xf>
    <xf numFmtId="4" fontId="18" fillId="0" borderId="9" xfId="0" applyNumberFormat="1" applyFont="1" applyBorder="1" applyAlignment="1">
      <alignment wrapText="1"/>
    </xf>
    <xf numFmtId="4" fontId="18" fillId="0" borderId="9" xfId="0" applyNumberFormat="1" applyFont="1" applyBorder="1"/>
    <xf numFmtId="4" fontId="6" fillId="6" borderId="13" xfId="0" applyNumberFormat="1" applyFont="1" applyFill="1" applyBorder="1" applyAlignment="1">
      <alignment horizontal="center"/>
    </xf>
    <xf numFmtId="164" fontId="11" fillId="0" borderId="9" xfId="0" applyNumberFormat="1" applyFont="1" applyBorder="1" applyAlignment="1">
      <alignment horizontal="center"/>
    </xf>
    <xf numFmtId="164" fontId="13" fillId="0" borderId="9" xfId="0" applyNumberFormat="1" applyFont="1" applyBorder="1" applyAlignment="1">
      <alignment horizontal="center"/>
    </xf>
    <xf numFmtId="164" fontId="11" fillId="5" borderId="9" xfId="0" applyNumberFormat="1" applyFont="1" applyFill="1" applyBorder="1"/>
    <xf numFmtId="4" fontId="11" fillId="0" borderId="9" xfId="0" applyNumberFormat="1" applyFont="1" applyBorder="1"/>
    <xf numFmtId="4" fontId="11" fillId="0" borderId="9" xfId="0" applyNumberFormat="1" applyFont="1" applyBorder="1" applyAlignment="1">
      <alignment horizontal="right"/>
    </xf>
    <xf numFmtId="4" fontId="11" fillId="0" borderId="9" xfId="0" applyNumberFormat="1" applyFont="1" applyBorder="1" applyAlignment="1">
      <alignment horizontal="right" wrapText="1"/>
    </xf>
    <xf numFmtId="4" fontId="11" fillId="0" borderId="9" xfId="0" applyNumberFormat="1" applyFont="1" applyBorder="1" applyAlignment="1">
      <alignment horizontal="left" wrapText="1"/>
    </xf>
    <xf numFmtId="4" fontId="11" fillId="5" borderId="9" xfId="0" applyNumberFormat="1" applyFont="1" applyFill="1" applyBorder="1"/>
    <xf numFmtId="4" fontId="12" fillId="0" borderId="9" xfId="0" applyNumberFormat="1" applyFont="1" applyBorder="1" applyAlignment="1">
      <alignment horizontal="right"/>
    </xf>
    <xf numFmtId="4" fontId="18" fillId="0" borderId="9" xfId="0" applyNumberFormat="1" applyFont="1" applyBorder="1" applyAlignment="1">
      <alignment horizontal="right"/>
    </xf>
    <xf numFmtId="4" fontId="13" fillId="0" borderId="9" xfId="0" applyNumberFormat="1" applyFont="1" applyBorder="1" applyAlignment="1">
      <alignment horizontal="right"/>
    </xf>
    <xf numFmtId="4" fontId="11" fillId="0" borderId="9" xfId="0" applyNumberFormat="1" applyFont="1" applyBorder="1" applyAlignment="1">
      <alignment horizontal="left"/>
    </xf>
    <xf numFmtId="10" fontId="11" fillId="5" borderId="9" xfId="0" applyNumberFormat="1" applyFont="1" applyFill="1" applyBorder="1" applyAlignment="1">
      <alignment horizontal="center"/>
    </xf>
    <xf numFmtId="4" fontId="14" fillId="0" borderId="9" xfId="0" applyNumberFormat="1" applyFont="1" applyBorder="1" applyAlignment="1">
      <alignment horizontal="right"/>
    </xf>
    <xf numFmtId="4" fontId="11" fillId="0" borderId="11" xfId="0" applyNumberFormat="1" applyFont="1" applyBorder="1"/>
    <xf numFmtId="164" fontId="14" fillId="6" borderId="9" xfId="0" applyNumberFormat="1" applyFont="1" applyFill="1" applyBorder="1" applyAlignment="1">
      <alignment horizontal="center"/>
    </xf>
    <xf numFmtId="10" fontId="15" fillId="0" borderId="0" xfId="0" applyNumberFormat="1" applyFont="1"/>
    <xf numFmtId="10" fontId="19" fillId="0" borderId="0" xfId="0" applyNumberFormat="1" applyFont="1"/>
    <xf numFmtId="10" fontId="9" fillId="0" borderId="0" xfId="0" applyNumberFormat="1" applyFont="1"/>
    <xf numFmtId="4" fontId="6" fillId="0" borderId="14" xfId="0" applyNumberFormat="1" applyFont="1" applyBorder="1" applyAlignment="1">
      <alignment horizontal="left"/>
    </xf>
    <xf numFmtId="4" fontId="11" fillId="0" borderId="11" xfId="0" applyNumberFormat="1" applyFont="1" applyBorder="1" applyAlignment="1">
      <alignment wrapText="1"/>
    </xf>
    <xf numFmtId="4" fontId="11" fillId="0" borderId="9" xfId="0" applyNumberFormat="1" applyFont="1" applyBorder="1" applyAlignment="1">
      <alignment horizontal="center" wrapText="1"/>
    </xf>
    <xf numFmtId="4" fontId="14" fillId="6" borderId="9" xfId="0" applyNumberFormat="1" applyFont="1" applyFill="1" applyBorder="1"/>
    <xf numFmtId="4" fontId="6" fillId="0" borderId="0" xfId="0" applyNumberFormat="1" applyFont="1" applyAlignment="1">
      <alignment horizontal="left"/>
    </xf>
    <xf numFmtId="4" fontId="14" fillId="6" borderId="9" xfId="0" applyNumberFormat="1" applyFont="1" applyFill="1" applyBorder="1" applyAlignment="1">
      <alignment wrapText="1"/>
    </xf>
    <xf numFmtId="4" fontId="11" fillId="0" borderId="12" xfId="0" applyNumberFormat="1" applyFont="1" applyBorder="1" applyAlignment="1">
      <alignment wrapText="1"/>
    </xf>
    <xf numFmtId="0" fontId="6" fillId="0" borderId="0" xfId="0" applyFont="1" applyAlignment="1">
      <alignment horizontal="left"/>
    </xf>
    <xf numFmtId="4" fontId="14" fillId="0" borderId="9" xfId="0" applyNumberFormat="1" applyFont="1" applyBorder="1" applyAlignment="1">
      <alignment horizontal="center" wrapText="1"/>
    </xf>
    <xf numFmtId="164" fontId="18" fillId="6" borderId="9" xfId="0" applyNumberFormat="1" applyFont="1" applyFill="1" applyBorder="1" applyAlignment="1">
      <alignment horizontal="center"/>
    </xf>
    <xf numFmtId="164" fontId="20" fillId="2" borderId="15" xfId="0" applyNumberFormat="1" applyFont="1" applyFill="1" applyBorder="1" applyAlignment="1">
      <alignment horizontal="center"/>
    </xf>
    <xf numFmtId="10" fontId="12" fillId="2" borderId="9" xfId="0" applyNumberFormat="1" applyFont="1" applyFill="1" applyBorder="1"/>
    <xf numFmtId="9" fontId="13" fillId="0" borderId="9" xfId="0" applyNumberFormat="1" applyFont="1" applyBorder="1" applyAlignment="1">
      <alignment horizontal="center"/>
    </xf>
    <xf numFmtId="4" fontId="20" fillId="2" borderId="15" xfId="0" applyNumberFormat="1" applyFont="1" applyFill="1" applyBorder="1"/>
    <xf numFmtId="164" fontId="20" fillId="2" borderId="15" xfId="0" applyNumberFormat="1" applyFont="1" applyFill="1" applyBorder="1"/>
    <xf numFmtId="4" fontId="13" fillId="0" borderId="9" xfId="0" applyNumberFormat="1" applyFont="1" applyBorder="1" applyAlignment="1">
      <alignment horizontal="center" wrapText="1"/>
    </xf>
    <xf numFmtId="10" fontId="11" fillId="2" borderId="9" xfId="0" applyNumberFormat="1" applyFont="1" applyFill="1" applyBorder="1"/>
    <xf numFmtId="4" fontId="12" fillId="2" borderId="9" xfId="0" applyNumberFormat="1" applyFont="1" applyFill="1" applyBorder="1"/>
    <xf numFmtId="4" fontId="6" fillId="2" borderId="15" xfId="0" applyNumberFormat="1" applyFont="1" applyFill="1" applyBorder="1" applyAlignment="1">
      <alignment horizontal="left"/>
    </xf>
    <xf numFmtId="4" fontId="21" fillId="0" borderId="9" xfId="0" applyNumberFormat="1" applyFont="1" applyBorder="1"/>
    <xf numFmtId="166" fontId="11" fillId="0" borderId="9" xfId="0" applyNumberFormat="1" applyFont="1" applyBorder="1"/>
    <xf numFmtId="10" fontId="22" fillId="0" borderId="9" xfId="0" applyNumberFormat="1" applyFont="1" applyBorder="1"/>
    <xf numFmtId="0" fontId="6" fillId="0" borderId="0" xfId="0" applyFont="1" applyAlignment="1">
      <alignment horizontal="right"/>
    </xf>
    <xf numFmtId="0" fontId="23" fillId="0" borderId="4" xfId="0" applyFont="1" applyBorder="1" applyAlignment="1">
      <alignment horizontal="left" vertical="center"/>
    </xf>
    <xf numFmtId="4" fontId="24" fillId="0" borderId="0" xfId="0" applyNumberFormat="1" applyFont="1"/>
    <xf numFmtId="4" fontId="24" fillId="0" borderId="3" xfId="0" applyNumberFormat="1" applyFont="1" applyBorder="1"/>
    <xf numFmtId="4" fontId="25" fillId="0" borderId="0" xfId="0" applyNumberFormat="1" applyFont="1"/>
    <xf numFmtId="4" fontId="24" fillId="0" borderId="5" xfId="0" applyNumberFormat="1" applyFont="1" applyBorder="1"/>
    <xf numFmtId="4" fontId="24" fillId="0" borderId="8" xfId="0" applyNumberFormat="1" applyFont="1" applyBorder="1"/>
    <xf numFmtId="4" fontId="15" fillId="6" borderId="17" xfId="0" applyNumberFormat="1" applyFont="1" applyFill="1" applyBorder="1"/>
    <xf numFmtId="4" fontId="15" fillId="6" borderId="13" xfId="0" applyNumberFormat="1" applyFont="1" applyFill="1" applyBorder="1"/>
    <xf numFmtId="4" fontId="21" fillId="6" borderId="13" xfId="0" applyNumberFormat="1" applyFont="1" applyFill="1" applyBorder="1"/>
    <xf numFmtId="4" fontId="21" fillId="6" borderId="9" xfId="0" applyNumberFormat="1" applyFont="1" applyFill="1" applyBorder="1" applyAlignment="1">
      <alignment horizontal="center"/>
    </xf>
    <xf numFmtId="0" fontId="9" fillId="0" borderId="9" xfId="0" applyFont="1" applyBorder="1"/>
    <xf numFmtId="4" fontId="15" fillId="6" borderId="18" xfId="0" applyNumberFormat="1" applyFont="1" applyFill="1" applyBorder="1" applyAlignment="1">
      <alignment horizontal="left"/>
    </xf>
    <xf numFmtId="4" fontId="15" fillId="6" borderId="15" xfId="0" applyNumberFormat="1" applyFont="1" applyFill="1" applyBorder="1" applyAlignment="1">
      <alignment horizontal="left"/>
    </xf>
    <xf numFmtId="4" fontId="15" fillId="6" borderId="19" xfId="0" applyNumberFormat="1" applyFont="1" applyFill="1" applyBorder="1" applyAlignment="1">
      <alignment horizontal="left"/>
    </xf>
    <xf numFmtId="0" fontId="26" fillId="0" borderId="4" xfId="0" applyFont="1" applyBorder="1" applyAlignment="1">
      <alignment horizontal="left" vertical="center"/>
    </xf>
    <xf numFmtId="0" fontId="27" fillId="0" borderId="0" xfId="0" applyFont="1" applyAlignment="1">
      <alignment horizontal="center"/>
    </xf>
    <xf numFmtId="4" fontId="28" fillId="0" borderId="0" xfId="0" applyNumberFormat="1" applyFont="1"/>
    <xf numFmtId="4" fontId="9" fillId="0" borderId="0" xfId="0" applyNumberFormat="1" applyFont="1" applyAlignment="1">
      <alignment horizontal="right"/>
    </xf>
    <xf numFmtId="4" fontId="10" fillId="0" borderId="5" xfId="0" applyNumberFormat="1" applyFont="1" applyBorder="1"/>
    <xf numFmtId="0" fontId="29" fillId="0" borderId="0" xfId="0" applyFont="1" applyAlignment="1">
      <alignment horizontal="center"/>
    </xf>
    <xf numFmtId="4" fontId="9" fillId="0" borderId="5" xfId="0" applyNumberFormat="1" applyFont="1" applyBorder="1"/>
    <xf numFmtId="4" fontId="6" fillId="0" borderId="0" xfId="0" applyNumberFormat="1" applyFont="1"/>
    <xf numFmtId="0" fontId="30" fillId="0" borderId="0" xfId="0" applyFont="1" applyAlignment="1">
      <alignment horizontal="left" vertical="center"/>
    </xf>
    <xf numFmtId="4" fontId="6" fillId="0" borderId="0" xfId="0" applyNumberFormat="1" applyFont="1" applyAlignment="1">
      <alignment horizontal="center"/>
    </xf>
    <xf numFmtId="4" fontId="11" fillId="0" borderId="1" xfId="0" applyNumberFormat="1" applyFont="1" applyBorder="1" applyAlignment="1">
      <alignment vertical="center"/>
    </xf>
    <xf numFmtId="4" fontId="11" fillId="0" borderId="2" xfId="0" applyNumberFormat="1" applyFont="1" applyBorder="1" applyAlignment="1">
      <alignment vertical="center"/>
    </xf>
    <xf numFmtId="4" fontId="11" fillId="0" borderId="3" xfId="0" applyNumberFormat="1" applyFont="1" applyBorder="1" applyAlignment="1">
      <alignment vertical="center"/>
    </xf>
    <xf numFmtId="4" fontId="11" fillId="0" borderId="4" xfId="0" applyNumberFormat="1" applyFont="1" applyBorder="1" applyAlignment="1">
      <alignment vertical="center"/>
    </xf>
    <xf numFmtId="4" fontId="11" fillId="0" borderId="0" xfId="0" applyNumberFormat="1" applyFont="1" applyAlignment="1">
      <alignment vertical="center"/>
    </xf>
    <xf numFmtId="4" fontId="11" fillId="0" borderId="5" xfId="0" applyNumberFormat="1" applyFont="1" applyBorder="1" applyAlignment="1">
      <alignment vertical="center"/>
    </xf>
    <xf numFmtId="164" fontId="6" fillId="0" borderId="0" xfId="0" applyNumberFormat="1" applyFont="1"/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4" fontId="11" fillId="0" borderId="6" xfId="0" applyNumberFormat="1" applyFont="1" applyBorder="1" applyAlignment="1">
      <alignment vertical="center"/>
    </xf>
    <xf numFmtId="4" fontId="11" fillId="0" borderId="7" xfId="0" applyNumberFormat="1" applyFont="1" applyBorder="1" applyAlignment="1">
      <alignment vertical="center"/>
    </xf>
    <xf numFmtId="4" fontId="11" fillId="0" borderId="8" xfId="0" applyNumberFormat="1" applyFont="1" applyBorder="1" applyAlignment="1">
      <alignment vertical="center"/>
    </xf>
    <xf numFmtId="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9" fontId="18" fillId="0" borderId="9" xfId="0" applyNumberFormat="1" applyFont="1" applyBorder="1" applyAlignment="1">
      <alignment horizontal="center"/>
    </xf>
    <xf numFmtId="10" fontId="18" fillId="0" borderId="9" xfId="0" applyNumberFormat="1" applyFont="1" applyBorder="1" applyAlignment="1">
      <alignment horizontal="center"/>
    </xf>
    <xf numFmtId="4" fontId="19" fillId="0" borderId="0" xfId="0" applyNumberFormat="1" applyFont="1"/>
    <xf numFmtId="4" fontId="19" fillId="0" borderId="0" xfId="0" applyNumberFormat="1" applyFont="1" applyAlignment="1">
      <alignment vertical="center" wrapText="1"/>
    </xf>
    <xf numFmtId="4" fontId="6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164" fontId="11" fillId="5" borderId="9" xfId="0" applyNumberFormat="1" applyFont="1" applyFill="1" applyBorder="1" applyAlignment="1">
      <alignment horizontal="right"/>
    </xf>
    <xf numFmtId="4" fontId="11" fillId="5" borderId="9" xfId="0" applyNumberFormat="1" applyFont="1" applyFill="1" applyBorder="1" applyAlignment="1">
      <alignment horizontal="center"/>
    </xf>
    <xf numFmtId="10" fontId="18" fillId="6" borderId="9" xfId="0" applyNumberFormat="1" applyFont="1" applyFill="1" applyBorder="1" applyAlignment="1">
      <alignment horizontal="center"/>
    </xf>
    <xf numFmtId="4" fontId="18" fillId="6" borderId="9" xfId="0" applyNumberFormat="1" applyFont="1" applyFill="1" applyBorder="1"/>
    <xf numFmtId="4" fontId="11" fillId="6" borderId="9" xfId="0" applyNumberFormat="1" applyFont="1" applyFill="1" applyBorder="1" applyAlignment="1">
      <alignment wrapText="1"/>
    </xf>
    <xf numFmtId="10" fontId="6" fillId="0" borderId="0" xfId="0" applyNumberFormat="1" applyFont="1"/>
    <xf numFmtId="4" fontId="18" fillId="6" borderId="9" xfId="0" applyNumberFormat="1" applyFont="1" applyFill="1" applyBorder="1" applyAlignment="1">
      <alignment wrapText="1"/>
    </xf>
    <xf numFmtId="4" fontId="18" fillId="0" borderId="9" xfId="0" applyNumberFormat="1" applyFont="1" applyBorder="1" applyAlignment="1">
      <alignment horizontal="center" wrapText="1"/>
    </xf>
    <xf numFmtId="164" fontId="31" fillId="2" borderId="15" xfId="0" applyNumberFormat="1" applyFont="1" applyFill="1" applyBorder="1" applyAlignment="1">
      <alignment horizontal="center"/>
    </xf>
    <xf numFmtId="9" fontId="11" fillId="0" borderId="9" xfId="0" applyNumberFormat="1" applyFont="1" applyBorder="1" applyAlignment="1">
      <alignment horizontal="left"/>
    </xf>
    <xf numFmtId="4" fontId="31" fillId="2" borderId="15" xfId="0" applyNumberFormat="1" applyFont="1" applyFill="1" applyBorder="1"/>
    <xf numFmtId="164" fontId="31" fillId="2" borderId="15" xfId="0" applyNumberFormat="1" applyFont="1" applyFill="1" applyBorder="1"/>
    <xf numFmtId="4" fontId="32" fillId="0" borderId="0" xfId="0" applyNumberFormat="1" applyFont="1"/>
    <xf numFmtId="166" fontId="21" fillId="0" borderId="9" xfId="0" applyNumberFormat="1" applyFont="1" applyBorder="1"/>
    <xf numFmtId="10" fontId="11" fillId="0" borderId="9" xfId="0" applyNumberFormat="1" applyFont="1" applyBorder="1"/>
    <xf numFmtId="0" fontId="33" fillId="0" borderId="0" xfId="0" applyFont="1" applyAlignment="1">
      <alignment horizontal="right"/>
    </xf>
    <xf numFmtId="0" fontId="34" fillId="0" borderId="4" xfId="0" applyFont="1" applyBorder="1" applyAlignment="1">
      <alignment horizontal="left" vertical="center"/>
    </xf>
    <xf numFmtId="4" fontId="33" fillId="0" borderId="0" xfId="0" applyNumberFormat="1" applyFont="1"/>
    <xf numFmtId="4" fontId="33" fillId="0" borderId="3" xfId="0" applyNumberFormat="1" applyFont="1" applyBorder="1"/>
    <xf numFmtId="4" fontId="13" fillId="0" borderId="0" xfId="0" applyNumberFormat="1" applyFont="1"/>
    <xf numFmtId="0" fontId="33" fillId="0" borderId="0" xfId="0" applyFont="1"/>
    <xf numFmtId="4" fontId="35" fillId="0" borderId="0" xfId="0" applyNumberFormat="1" applyFont="1"/>
    <xf numFmtId="4" fontId="33" fillId="0" borderId="5" xfId="0" applyNumberFormat="1" applyFont="1" applyBorder="1"/>
    <xf numFmtId="164" fontId="33" fillId="0" borderId="0" xfId="0" applyNumberFormat="1" applyFont="1"/>
    <xf numFmtId="4" fontId="33" fillId="0" borderId="8" xfId="0" applyNumberFormat="1" applyFont="1" applyBorder="1"/>
    <xf numFmtId="4" fontId="37" fillId="6" borderId="13" xfId="0" applyNumberFormat="1" applyFont="1" applyFill="1" applyBorder="1"/>
    <xf numFmtId="4" fontId="38" fillId="6" borderId="13" xfId="0" applyNumberFormat="1" applyFont="1" applyFill="1" applyBorder="1"/>
    <xf numFmtId="4" fontId="37" fillId="6" borderId="9" xfId="0" applyNumberFormat="1" applyFont="1" applyFill="1" applyBorder="1" applyAlignment="1">
      <alignment horizontal="center"/>
    </xf>
    <xf numFmtId="4" fontId="15" fillId="6" borderId="20" xfId="0" applyNumberFormat="1" applyFont="1" applyFill="1" applyBorder="1"/>
    <xf numFmtId="4" fontId="19" fillId="6" borderId="18" xfId="0" applyNumberFormat="1" applyFont="1" applyFill="1" applyBorder="1" applyAlignment="1">
      <alignment horizontal="left"/>
    </xf>
    <xf numFmtId="4" fontId="19" fillId="6" borderId="15" xfId="0" applyNumberFormat="1" applyFont="1" applyFill="1" applyBorder="1" applyAlignment="1">
      <alignment horizontal="left"/>
    </xf>
    <xf numFmtId="4" fontId="19" fillId="6" borderId="19" xfId="0" applyNumberFormat="1" applyFont="1" applyFill="1" applyBorder="1" applyAlignment="1">
      <alignment horizontal="left"/>
    </xf>
    <xf numFmtId="0" fontId="39" fillId="0" borderId="4" xfId="0" applyFont="1" applyBorder="1" applyAlignment="1">
      <alignment horizontal="left" vertical="center"/>
    </xf>
    <xf numFmtId="0" fontId="40" fillId="0" borderId="0" xfId="0" applyFont="1" applyAlignment="1">
      <alignment horizontal="center"/>
    </xf>
    <xf numFmtId="4" fontId="41" fillId="0" borderId="0" xfId="0" applyNumberFormat="1" applyFont="1"/>
    <xf numFmtId="4" fontId="6" fillId="0" borderId="0" xfId="0" applyNumberFormat="1" applyFont="1" applyAlignment="1">
      <alignment horizontal="right"/>
    </xf>
    <xf numFmtId="4" fontId="16" fillId="0" borderId="5" xfId="0" applyNumberFormat="1" applyFont="1" applyBorder="1"/>
    <xf numFmtId="0" fontId="42" fillId="0" borderId="0" xfId="0" applyFont="1" applyAlignment="1">
      <alignment horizontal="center"/>
    </xf>
    <xf numFmtId="4" fontId="6" fillId="0" borderId="5" xfId="0" applyNumberFormat="1" applyFont="1" applyBorder="1"/>
    <xf numFmtId="0" fontId="43" fillId="7" borderId="15" xfId="0" applyFont="1" applyFill="1" applyBorder="1"/>
    <xf numFmtId="0" fontId="44" fillId="7" borderId="15" xfId="0" applyFont="1" applyFill="1" applyBorder="1"/>
    <xf numFmtId="0" fontId="45" fillId="0" borderId="0" xfId="0" applyFont="1"/>
    <xf numFmtId="0" fontId="46" fillId="0" borderId="0" xfId="0" applyFont="1" applyAlignment="1"/>
    <xf numFmtId="10" fontId="46" fillId="0" borderId="0" xfId="0" applyNumberFormat="1" applyFont="1" applyAlignment="1"/>
    <xf numFmtId="0" fontId="46" fillId="7" borderId="0" xfId="0" applyFont="1" applyFill="1" applyAlignment="1"/>
    <xf numFmtId="0" fontId="4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46" fillId="8" borderId="0" xfId="0" applyFont="1" applyFill="1" applyAlignment="1">
      <alignment horizontal="center"/>
    </xf>
    <xf numFmtId="10" fontId="0" fillId="0" borderId="0" xfId="0" applyNumberFormat="1" applyFont="1" applyAlignment="1"/>
    <xf numFmtId="4" fontId="11" fillId="6" borderId="11" xfId="0" applyNumberFormat="1" applyFont="1" applyFill="1" applyBorder="1" applyAlignment="1">
      <alignment horizontal="left"/>
    </xf>
    <xf numFmtId="0" fontId="8" fillId="0" borderId="16" xfId="0" applyFont="1" applyBorder="1"/>
    <xf numFmtId="0" fontId="8" fillId="0" borderId="12" xfId="0" applyFont="1" applyBorder="1"/>
    <xf numFmtId="4" fontId="13" fillId="6" borderId="11" xfId="0" applyNumberFormat="1" applyFont="1" applyFill="1" applyBorder="1" applyAlignment="1">
      <alignment horizontal="left"/>
    </xf>
    <xf numFmtId="4" fontId="7" fillId="0" borderId="1" xfId="0" applyNumberFormat="1" applyFont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0" fillId="0" borderId="0" xfId="0" applyFont="1" applyAlignment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4" fontId="11" fillId="0" borderId="11" xfId="0" applyNumberFormat="1" applyFont="1" applyBorder="1" applyAlignment="1">
      <alignment horizontal="left" wrapText="1"/>
    </xf>
    <xf numFmtId="10" fontId="11" fillId="0" borderId="11" xfId="0" applyNumberFormat="1" applyFont="1" applyBorder="1" applyAlignment="1">
      <alignment horizontal="left"/>
    </xf>
    <xf numFmtId="4" fontId="11" fillId="0" borderId="11" xfId="0" applyNumberFormat="1" applyFont="1" applyBorder="1" applyAlignment="1">
      <alignment horizontal="center"/>
    </xf>
    <xf numFmtId="4" fontId="15" fillId="6" borderId="11" xfId="0" applyNumberFormat="1" applyFont="1" applyFill="1" applyBorder="1" applyAlignment="1">
      <alignment horizontal="left"/>
    </xf>
    <xf numFmtId="4" fontId="19" fillId="6" borderId="11" xfId="0" applyNumberFormat="1" applyFont="1" applyFill="1" applyBorder="1" applyAlignment="1">
      <alignment horizontal="left"/>
    </xf>
    <xf numFmtId="4" fontId="36" fillId="6" borderId="11" xfId="0" applyNumberFormat="1" applyFont="1" applyFill="1" applyBorder="1" applyAlignment="1">
      <alignment horizontal="left"/>
    </xf>
    <xf numFmtId="0" fontId="61" fillId="9" borderId="0" xfId="0" applyFont="1" applyFill="1"/>
    <xf numFmtId="0" fontId="6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opLeftCell="A16" workbookViewId="0">
      <selection activeCell="A20" sqref="A20"/>
    </sheetView>
  </sheetViews>
  <sheetFormatPr defaultColWidth="12.5703125" defaultRowHeight="15" customHeight="1"/>
  <cols>
    <col min="1" max="1" width="146.140625" customWidth="1"/>
    <col min="2" max="26" width="8.5703125" customWidth="1"/>
  </cols>
  <sheetData>
    <row r="1" spans="1:1" ht="14.25" customHeight="1">
      <c r="A1" s="1" t="s">
        <v>0</v>
      </c>
    </row>
    <row r="2" spans="1:1" ht="14.25" customHeight="1">
      <c r="A2" s="2" t="s">
        <v>1</v>
      </c>
    </row>
    <row r="3" spans="1:1" ht="14.25" customHeight="1">
      <c r="A3" s="3" t="s">
        <v>2</v>
      </c>
    </row>
    <row r="4" spans="1:1" ht="14.25" customHeight="1">
      <c r="A4" s="4" t="s">
        <v>3</v>
      </c>
    </row>
    <row r="5" spans="1:1" ht="14.25" customHeight="1">
      <c r="A5" s="5" t="s">
        <v>4</v>
      </c>
    </row>
    <row r="6" spans="1:1" ht="14.25" customHeight="1">
      <c r="A6" s="6"/>
    </row>
    <row r="7" spans="1:1" ht="14.25" customHeight="1">
      <c r="A7" s="6" t="s">
        <v>5</v>
      </c>
    </row>
    <row r="8" spans="1:1" ht="14.25" customHeight="1">
      <c r="A8" s="6" t="s">
        <v>6</v>
      </c>
    </row>
    <row r="9" spans="1:1" ht="14.25" customHeight="1">
      <c r="A9" s="6" t="s">
        <v>7</v>
      </c>
    </row>
    <row r="10" spans="1:1" ht="14.25" customHeight="1">
      <c r="A10" s="6" t="s">
        <v>8</v>
      </c>
    </row>
    <row r="11" spans="1:1" ht="14.25" customHeight="1">
      <c r="A11" s="6" t="s">
        <v>9</v>
      </c>
    </row>
    <row r="12" spans="1:1" ht="14.25" customHeight="1">
      <c r="A12" s="5" t="s">
        <v>10</v>
      </c>
    </row>
    <row r="13" spans="1:1" ht="14.25" customHeight="1">
      <c r="A13" s="6"/>
    </row>
    <row r="14" spans="1:1" ht="14.25" customHeight="1">
      <c r="A14" s="6" t="s">
        <v>11</v>
      </c>
    </row>
    <row r="15" spans="1:1" ht="14.25" customHeight="1">
      <c r="A15" s="6" t="s">
        <v>12</v>
      </c>
    </row>
    <row r="16" spans="1:1" ht="14.25" customHeight="1">
      <c r="A16" s="6" t="s">
        <v>13</v>
      </c>
    </row>
    <row r="17" spans="1:1" ht="14.25" customHeight="1">
      <c r="A17" s="6" t="s">
        <v>14</v>
      </c>
    </row>
    <row r="18" spans="1:1" ht="14.25" customHeight="1">
      <c r="A18" s="5" t="s">
        <v>15</v>
      </c>
    </row>
    <row r="19" spans="1:1" ht="14.25" customHeight="1">
      <c r="A19" s="6"/>
    </row>
    <row r="20" spans="1:1" ht="14.25" customHeight="1">
      <c r="A20" s="6" t="s">
        <v>16</v>
      </c>
    </row>
    <row r="21" spans="1:1" ht="14.25" customHeight="1">
      <c r="A21" s="6" t="s">
        <v>17</v>
      </c>
    </row>
    <row r="22" spans="1:1" ht="14.25" customHeight="1">
      <c r="A22" s="6" t="s">
        <v>18</v>
      </c>
    </row>
    <row r="23" spans="1:1" ht="14.25" customHeight="1">
      <c r="A23" s="6" t="s">
        <v>19</v>
      </c>
    </row>
    <row r="24" spans="1:1" ht="14.25" customHeight="1">
      <c r="A24" s="6" t="s">
        <v>20</v>
      </c>
    </row>
    <row r="25" spans="1:1" ht="14.25" customHeight="1">
      <c r="A25" s="5" t="s">
        <v>21</v>
      </c>
    </row>
    <row r="26" spans="1:1" ht="14.25" customHeight="1">
      <c r="A26" s="6"/>
    </row>
    <row r="27" spans="1:1" ht="14.25" customHeight="1">
      <c r="A27" s="6" t="s">
        <v>22</v>
      </c>
    </row>
    <row r="28" spans="1:1" ht="14.25" customHeight="1">
      <c r="A28" s="6" t="s">
        <v>23</v>
      </c>
    </row>
    <row r="29" spans="1:1" ht="14.25" customHeight="1">
      <c r="A29" s="6" t="s">
        <v>24</v>
      </c>
    </row>
    <row r="30" spans="1:1" ht="14.25" customHeight="1">
      <c r="A30" s="6" t="s">
        <v>25</v>
      </c>
    </row>
    <row r="31" spans="1:1" ht="14.25" customHeight="1">
      <c r="A31" s="6" t="s">
        <v>26</v>
      </c>
    </row>
    <row r="32" spans="1:1" ht="14.25" customHeight="1">
      <c r="A32" s="6" t="s">
        <v>27</v>
      </c>
    </row>
    <row r="33" spans="1:1" ht="14.25" customHeight="1">
      <c r="A33" s="6" t="s">
        <v>28</v>
      </c>
    </row>
    <row r="34" spans="1:1" ht="14.25" customHeight="1">
      <c r="A34" s="6" t="s">
        <v>29</v>
      </c>
    </row>
    <row r="35" spans="1:1" ht="14.25" customHeight="1">
      <c r="A35" s="6" t="s">
        <v>30</v>
      </c>
    </row>
    <row r="36" spans="1:1" ht="14.25" customHeight="1">
      <c r="A36" s="3" t="s">
        <v>31</v>
      </c>
    </row>
    <row r="37" spans="1:1" ht="14.25" customHeight="1">
      <c r="A37" s="4" t="s">
        <v>32</v>
      </c>
    </row>
    <row r="38" spans="1:1" ht="14.25" customHeight="1">
      <c r="A38" s="7" t="s">
        <v>33</v>
      </c>
    </row>
    <row r="39" spans="1:1" ht="14.25" customHeight="1">
      <c r="A39" s="7" t="s">
        <v>34</v>
      </c>
    </row>
    <row r="40" spans="1:1" ht="14.25" customHeight="1">
      <c r="A40" s="5" t="s">
        <v>35</v>
      </c>
    </row>
    <row r="41" spans="1:1" ht="14.25" customHeight="1">
      <c r="A41" s="6"/>
    </row>
    <row r="42" spans="1:1" ht="14.25" customHeight="1">
      <c r="A42" s="6" t="s">
        <v>17</v>
      </c>
    </row>
    <row r="43" spans="1:1" ht="14.25" customHeight="1">
      <c r="A43" s="6" t="s">
        <v>36</v>
      </c>
    </row>
    <row r="44" spans="1:1" ht="14.25" customHeight="1">
      <c r="A44" s="6" t="s">
        <v>37</v>
      </c>
    </row>
    <row r="45" spans="1:1" ht="14.25" customHeight="1">
      <c r="A45" s="6" t="s">
        <v>38</v>
      </c>
    </row>
    <row r="46" spans="1:1" ht="14.25" customHeight="1">
      <c r="A46" s="5" t="s">
        <v>39</v>
      </c>
    </row>
    <row r="47" spans="1:1" ht="14.25" customHeight="1">
      <c r="A47" s="6"/>
    </row>
    <row r="48" spans="1:1" ht="14.25" customHeight="1">
      <c r="A48" s="6" t="s">
        <v>40</v>
      </c>
    </row>
    <row r="49" spans="1:1" ht="14.25" customHeight="1">
      <c r="A49" s="6" t="s">
        <v>41</v>
      </c>
    </row>
    <row r="50" spans="1:1" ht="14.25" customHeight="1">
      <c r="A50" s="6" t="s">
        <v>42</v>
      </c>
    </row>
    <row r="51" spans="1:1" ht="14.25" customHeight="1">
      <c r="A51" s="5" t="s">
        <v>43</v>
      </c>
    </row>
    <row r="52" spans="1:1" ht="14.25" customHeight="1">
      <c r="A52" s="6"/>
    </row>
    <row r="53" spans="1:1" ht="14.25" customHeight="1">
      <c r="A53" s="6" t="s">
        <v>44</v>
      </c>
    </row>
    <row r="54" spans="1:1" ht="14.25" customHeight="1">
      <c r="A54" s="6" t="s">
        <v>45</v>
      </c>
    </row>
    <row r="55" spans="1:1" ht="14.25" customHeight="1">
      <c r="A55" s="6" t="s">
        <v>46</v>
      </c>
    </row>
    <row r="56" spans="1:1" ht="14.25" customHeight="1">
      <c r="A56" s="5" t="s">
        <v>47</v>
      </c>
    </row>
    <row r="57" spans="1:1" ht="14.25" customHeight="1">
      <c r="A57" s="6"/>
    </row>
    <row r="58" spans="1:1" ht="14.25" customHeight="1">
      <c r="A58" s="6" t="s">
        <v>48</v>
      </c>
    </row>
    <row r="59" spans="1:1" ht="14.25" customHeight="1">
      <c r="A59" s="6" t="s">
        <v>49</v>
      </c>
    </row>
    <row r="60" spans="1:1" ht="14.25" customHeight="1">
      <c r="A60" s="6" t="s">
        <v>50</v>
      </c>
    </row>
    <row r="61" spans="1:1" ht="14.25" customHeight="1">
      <c r="A61" s="5" t="s">
        <v>51</v>
      </c>
    </row>
    <row r="62" spans="1:1" ht="14.25" customHeight="1">
      <c r="A62" s="6"/>
    </row>
    <row r="63" spans="1:1" ht="14.25" customHeight="1">
      <c r="A63" s="6" t="s">
        <v>52</v>
      </c>
    </row>
    <row r="64" spans="1:1" ht="14.25" customHeight="1">
      <c r="A64" s="6" t="s">
        <v>53</v>
      </c>
    </row>
    <row r="65" spans="1:1" ht="14.25" customHeight="1">
      <c r="A65" s="6" t="s">
        <v>54</v>
      </c>
    </row>
    <row r="66" spans="1:1" ht="14.25" customHeight="1">
      <c r="A66" s="6" t="s">
        <v>55</v>
      </c>
    </row>
    <row r="67" spans="1:1" ht="14.25" customHeight="1">
      <c r="A67" s="4" t="s">
        <v>56</v>
      </c>
    </row>
    <row r="68" spans="1:1" ht="14.25" customHeight="1">
      <c r="A68" s="7" t="s">
        <v>57</v>
      </c>
    </row>
    <row r="69" spans="1:1" ht="14.25" customHeight="1">
      <c r="A69" s="7" t="s">
        <v>58</v>
      </c>
    </row>
    <row r="70" spans="1:1" ht="14.25" customHeight="1">
      <c r="A70" s="5" t="s">
        <v>59</v>
      </c>
    </row>
    <row r="71" spans="1:1" ht="14.25" customHeight="1">
      <c r="A71" s="6"/>
    </row>
    <row r="72" spans="1:1" ht="14.25" customHeight="1">
      <c r="A72" s="6" t="s">
        <v>60</v>
      </c>
    </row>
    <row r="73" spans="1:1" ht="14.25" customHeight="1">
      <c r="A73" s="6" t="s">
        <v>61</v>
      </c>
    </row>
    <row r="74" spans="1:1" ht="14.25" customHeight="1">
      <c r="A74" s="6" t="s">
        <v>62</v>
      </c>
    </row>
    <row r="75" spans="1:1" ht="14.25" customHeight="1">
      <c r="A75" s="6" t="s">
        <v>63</v>
      </c>
    </row>
    <row r="76" spans="1:1" ht="14.25" customHeight="1">
      <c r="A76" s="5" t="s">
        <v>64</v>
      </c>
    </row>
    <row r="77" spans="1:1" ht="14.25" customHeight="1">
      <c r="A77" s="6"/>
    </row>
    <row r="78" spans="1:1" ht="14.25" customHeight="1">
      <c r="A78" s="6" t="s">
        <v>65</v>
      </c>
    </row>
    <row r="79" spans="1:1" ht="14.25" customHeight="1">
      <c r="A79" s="6" t="s">
        <v>66</v>
      </c>
    </row>
    <row r="80" spans="1:1" ht="14.25" customHeight="1">
      <c r="A80" s="6" t="s">
        <v>67</v>
      </c>
    </row>
    <row r="81" spans="1:1" ht="14.25" customHeight="1">
      <c r="A81" s="5" t="s">
        <v>68</v>
      </c>
    </row>
    <row r="82" spans="1:1" ht="14.25" customHeight="1">
      <c r="A82" s="6"/>
    </row>
    <row r="83" spans="1:1" ht="14.25" customHeight="1">
      <c r="A83" s="6" t="s">
        <v>69</v>
      </c>
    </row>
    <row r="84" spans="1:1" ht="14.25" customHeight="1">
      <c r="A84" s="6" t="s">
        <v>70</v>
      </c>
    </row>
    <row r="85" spans="1:1" ht="14.25" customHeight="1">
      <c r="A85" s="6" t="s">
        <v>71</v>
      </c>
    </row>
    <row r="86" spans="1:1" ht="14.25" customHeight="1">
      <c r="A86" s="6" t="s">
        <v>72</v>
      </c>
    </row>
    <row r="87" spans="1:1" ht="14.25" customHeight="1">
      <c r="A87" s="5" t="s">
        <v>73</v>
      </c>
    </row>
    <row r="88" spans="1:1" ht="14.25" customHeight="1">
      <c r="A88" s="6"/>
    </row>
    <row r="89" spans="1:1" ht="14.25" customHeight="1">
      <c r="A89" s="6" t="s">
        <v>74</v>
      </c>
    </row>
    <row r="90" spans="1:1" ht="14.25" customHeight="1">
      <c r="A90" s="6" t="s">
        <v>75</v>
      </c>
    </row>
    <row r="91" spans="1:1" ht="14.25" customHeight="1">
      <c r="A91" s="6" t="s">
        <v>76</v>
      </c>
    </row>
    <row r="92" spans="1:1" ht="14.25" customHeight="1">
      <c r="A92" s="6" t="s">
        <v>77</v>
      </c>
    </row>
    <row r="93" spans="1:1" ht="14.25" customHeight="1">
      <c r="A93" s="6" t="s">
        <v>78</v>
      </c>
    </row>
    <row r="94" spans="1:1" ht="14.25" customHeight="1">
      <c r="A94" s="5" t="s">
        <v>51</v>
      </c>
    </row>
    <row r="95" spans="1:1" ht="14.25" customHeight="1">
      <c r="A95" s="6"/>
    </row>
    <row r="96" spans="1:1" ht="14.25" customHeight="1">
      <c r="A96" s="6" t="s">
        <v>79</v>
      </c>
    </row>
    <row r="97" spans="1:1" ht="14.25" customHeight="1">
      <c r="A97" s="6" t="s">
        <v>80</v>
      </c>
    </row>
    <row r="98" spans="1:1" ht="14.25" customHeight="1">
      <c r="A98" s="6" t="s">
        <v>81</v>
      </c>
    </row>
    <row r="99" spans="1:1" ht="14.25" customHeight="1">
      <c r="A99" s="4" t="s">
        <v>82</v>
      </c>
    </row>
    <row r="100" spans="1:1" ht="14.25" customHeight="1">
      <c r="A100" s="5" t="s">
        <v>83</v>
      </c>
    </row>
    <row r="101" spans="1:1" ht="14.25" customHeight="1">
      <c r="A101" s="5" t="s">
        <v>84</v>
      </c>
    </row>
    <row r="102" spans="1:1" ht="14.25" customHeight="1">
      <c r="A102" s="5" t="s">
        <v>85</v>
      </c>
    </row>
    <row r="103" spans="1:1" ht="14.25" customHeight="1">
      <c r="A103" s="5" t="s">
        <v>86</v>
      </c>
    </row>
    <row r="104" spans="1:1" ht="14.25" customHeight="1">
      <c r="A104" s="3" t="s">
        <v>87</v>
      </c>
    </row>
    <row r="105" spans="1:1" ht="14.25" customHeight="1">
      <c r="A105" s="5" t="s">
        <v>88</v>
      </c>
    </row>
    <row r="106" spans="1:1" ht="14.25" customHeight="1">
      <c r="A106" s="5" t="s">
        <v>89</v>
      </c>
    </row>
    <row r="107" spans="1:1" ht="14.25" customHeight="1">
      <c r="A107" s="5" t="s">
        <v>90</v>
      </c>
    </row>
    <row r="108" spans="1:1" ht="14.25" customHeight="1">
      <c r="A108" s="6"/>
    </row>
    <row r="109" spans="1:1" ht="14.25" customHeight="1">
      <c r="A109" s="6" t="s">
        <v>91</v>
      </c>
    </row>
    <row r="110" spans="1:1" ht="14.25" customHeight="1">
      <c r="A110" s="6" t="s">
        <v>92</v>
      </c>
    </row>
    <row r="111" spans="1:1" ht="14.25" customHeight="1">
      <c r="A111" s="6" t="s">
        <v>93</v>
      </c>
    </row>
    <row r="112" spans="1:1" ht="14.25" customHeight="1">
      <c r="A112" s="6" t="s">
        <v>94</v>
      </c>
    </row>
    <row r="113" spans="1:1" ht="14.25" customHeight="1">
      <c r="A113" s="5" t="s">
        <v>95</v>
      </c>
    </row>
    <row r="114" spans="1:1" ht="14.25" customHeight="1">
      <c r="A114" s="5" t="s">
        <v>96</v>
      </c>
    </row>
    <row r="115" spans="1:1" ht="14.25" customHeight="1">
      <c r="A115" s="3" t="s">
        <v>97</v>
      </c>
    </row>
    <row r="116" spans="1:1" ht="14.25" customHeight="1">
      <c r="A116" s="2" t="s">
        <v>98</v>
      </c>
    </row>
    <row r="117" spans="1:1" ht="14.25" customHeight="1">
      <c r="A117" s="6" t="s">
        <v>99</v>
      </c>
    </row>
    <row r="118" spans="1:1" ht="14.25" customHeight="1">
      <c r="A118" s="6" t="s">
        <v>100</v>
      </c>
    </row>
    <row r="119" spans="1:1" ht="14.25" customHeight="1">
      <c r="A119" s="6" t="s">
        <v>101</v>
      </c>
    </row>
    <row r="120" spans="1:1" ht="14.25" customHeight="1">
      <c r="A120" s="6" t="s">
        <v>102</v>
      </c>
    </row>
    <row r="121" spans="1:1" ht="14.25" customHeight="1">
      <c r="A121" s="6" t="s">
        <v>103</v>
      </c>
    </row>
    <row r="122" spans="1:1" ht="14.25" customHeight="1">
      <c r="A122" s="6" t="s">
        <v>104</v>
      </c>
    </row>
    <row r="123" spans="1:1" ht="14.25" customHeight="1">
      <c r="A123" s="6" t="s">
        <v>105</v>
      </c>
    </row>
    <row r="124" spans="1:1" ht="14.25" customHeight="1">
      <c r="A124" s="6" t="s">
        <v>106</v>
      </c>
    </row>
    <row r="125" spans="1:1" ht="14.25" customHeight="1"/>
    <row r="126" spans="1:1" ht="14.25" customHeight="1"/>
    <row r="127" spans="1:1" ht="14.25" customHeight="1"/>
    <row r="128" spans="1:1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1000"/>
  <sheetViews>
    <sheetView topLeftCell="B1" workbookViewId="0"/>
  </sheetViews>
  <sheetFormatPr defaultColWidth="12.5703125" defaultRowHeight="15" customHeight="1"/>
  <cols>
    <col min="1" max="1" width="16" hidden="1" customWidth="1"/>
    <col min="2" max="2" width="75.42578125" customWidth="1"/>
    <col min="3" max="4" width="25.42578125" customWidth="1"/>
    <col min="5" max="5" width="22.5703125" customWidth="1"/>
    <col min="6" max="6" width="21" customWidth="1"/>
    <col min="7" max="7" width="25" customWidth="1"/>
    <col min="8" max="8" width="29.42578125" customWidth="1"/>
    <col min="9" max="9" width="32.140625" customWidth="1"/>
    <col min="10" max="10" width="22" customWidth="1"/>
    <col min="11" max="11" width="23.42578125" customWidth="1"/>
    <col min="12" max="12" width="31" customWidth="1"/>
    <col min="13" max="13" width="23.42578125" customWidth="1"/>
    <col min="14" max="14" width="21.140625" customWidth="1"/>
    <col min="15" max="15" width="14.42578125" customWidth="1"/>
    <col min="16" max="16" width="21.5703125" hidden="1" customWidth="1"/>
    <col min="17" max="17" width="14.42578125" hidden="1" customWidth="1"/>
    <col min="18" max="18" width="12.85546875" hidden="1" customWidth="1"/>
    <col min="19" max="19" width="13" hidden="1" customWidth="1"/>
    <col min="20" max="20" width="17.140625" hidden="1" customWidth="1"/>
    <col min="21" max="21" width="21.42578125" customWidth="1"/>
    <col min="22" max="22" width="22.85546875" customWidth="1"/>
    <col min="23" max="26" width="17.140625" customWidth="1"/>
    <col min="27" max="27" width="15" customWidth="1"/>
    <col min="28" max="28" width="14.42578125" customWidth="1"/>
  </cols>
  <sheetData>
    <row r="1" spans="1:28" ht="15.75" customHeight="1">
      <c r="A1" s="8"/>
      <c r="B1" s="185" t="s">
        <v>107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7"/>
      <c r="O1" s="9"/>
      <c r="P1" s="9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ht="15.75" customHeight="1">
      <c r="A2" s="8"/>
      <c r="B2" s="188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90"/>
      <c r="O2" s="9"/>
      <c r="P2" s="9"/>
      <c r="Q2" s="9"/>
      <c r="R2" s="10"/>
      <c r="S2" s="11"/>
      <c r="T2" s="10"/>
      <c r="U2" s="10"/>
      <c r="V2" s="10"/>
      <c r="W2" s="10"/>
      <c r="X2" s="10"/>
      <c r="Y2" s="10"/>
      <c r="Z2" s="10"/>
      <c r="AA2" s="10"/>
      <c r="AB2" s="10"/>
    </row>
    <row r="3" spans="1:28" ht="15.75" customHeight="1">
      <c r="A3" s="8"/>
      <c r="B3" s="188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90"/>
      <c r="O3" s="12"/>
      <c r="P3" s="12"/>
      <c r="Q3" s="13"/>
      <c r="R3" s="13"/>
      <c r="S3" s="14" t="e">
        <f>N7+J14</f>
        <v>#VALUE!</v>
      </c>
      <c r="T3" s="14"/>
      <c r="U3" s="13"/>
      <c r="V3" s="13"/>
      <c r="W3" s="13"/>
      <c r="X3" s="10"/>
      <c r="Y3" s="10"/>
      <c r="Z3" s="10"/>
      <c r="AA3" s="10">
        <f>273000/5</f>
        <v>54600</v>
      </c>
      <c r="AB3" s="10"/>
    </row>
    <row r="4" spans="1:28" ht="15.75" customHeight="1">
      <c r="A4" s="8"/>
      <c r="B4" s="191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3"/>
      <c r="O4" s="15" t="s">
        <v>108</v>
      </c>
      <c r="P4" s="15"/>
      <c r="Q4" s="16"/>
      <c r="R4" s="16"/>
      <c r="S4" s="17"/>
      <c r="T4" s="17"/>
      <c r="U4" s="16" t="s">
        <v>109</v>
      </c>
      <c r="V4" s="16" t="s">
        <v>110</v>
      </c>
      <c r="W4" s="16" t="s">
        <v>111</v>
      </c>
      <c r="X4" s="10"/>
      <c r="Y4" s="10"/>
      <c r="Z4" s="10"/>
      <c r="AA4" s="10"/>
      <c r="AB4" s="10"/>
    </row>
    <row r="5" spans="1:28" ht="20.25" customHeight="1">
      <c r="A5" s="8"/>
      <c r="B5" s="18">
        <f ca="1">TODAY()</f>
        <v>46216</v>
      </c>
      <c r="C5" s="19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P61</v>
      </c>
      <c r="D5" s="20" t="s">
        <v>112</v>
      </c>
      <c r="E5" s="21" t="s">
        <v>113</v>
      </c>
      <c r="F5" s="22"/>
      <c r="G5" s="22"/>
      <c r="H5" s="22"/>
      <c r="I5" s="23"/>
      <c r="J5" s="24"/>
      <c r="K5" s="25">
        <v>0</v>
      </c>
      <c r="L5" s="26">
        <v>3.39E-2</v>
      </c>
      <c r="M5" s="26">
        <v>6.7799999999999999E-2</v>
      </c>
      <c r="N5" s="26">
        <v>0.1017</v>
      </c>
      <c r="O5" s="27">
        <f>K7+K14</f>
        <v>14994.723992429999</v>
      </c>
      <c r="P5" s="9"/>
      <c r="Q5" s="10"/>
      <c r="R5" s="10"/>
      <c r="S5" s="11"/>
      <c r="T5" s="10"/>
      <c r="U5" s="11">
        <f t="shared" ref="U5:W5" si="0">L7+L14</f>
        <v>6109.9722662008335</v>
      </c>
      <c r="V5" s="11">
        <f t="shared" si="0"/>
        <v>4087.1906534549998</v>
      </c>
      <c r="W5" s="11">
        <f t="shared" si="0"/>
        <v>2832.2220328675003</v>
      </c>
      <c r="X5" s="10"/>
      <c r="Y5" s="10"/>
      <c r="Z5" s="10"/>
      <c r="AA5" s="10"/>
      <c r="AB5" s="10"/>
    </row>
    <row r="6" spans="1:28" ht="128.25" customHeight="1">
      <c r="A6" s="28" t="s">
        <v>114</v>
      </c>
      <c r="B6" s="29" t="s">
        <v>115</v>
      </c>
      <c r="C6" s="30" t="s">
        <v>116</v>
      </c>
      <c r="D6" s="30" t="s">
        <v>117</v>
      </c>
      <c r="E6" s="30" t="s">
        <v>118</v>
      </c>
      <c r="F6" s="30" t="s">
        <v>119</v>
      </c>
      <c r="G6" s="30" t="s">
        <v>120</v>
      </c>
      <c r="H6" s="30" t="s">
        <v>121</v>
      </c>
      <c r="I6" s="30" t="s">
        <v>122</v>
      </c>
      <c r="J6" s="30" t="s">
        <v>123</v>
      </c>
      <c r="K6" s="30" t="s">
        <v>124</v>
      </c>
      <c r="L6" s="30" t="s">
        <v>125</v>
      </c>
      <c r="M6" s="30" t="s">
        <v>126</v>
      </c>
      <c r="N6" s="30" t="s">
        <v>127</v>
      </c>
      <c r="O6" s="31"/>
      <c r="P6" s="32"/>
      <c r="Q6" s="33"/>
      <c r="R6" s="33"/>
      <c r="S6" s="33"/>
      <c r="T6" s="34"/>
      <c r="U6" s="34">
        <f>N7+L14</f>
        <v>4798.8721728675</v>
      </c>
      <c r="V6" s="34">
        <f>N7+K14</f>
        <v>12044.748782429999</v>
      </c>
      <c r="W6" s="34"/>
      <c r="X6" s="33"/>
      <c r="Y6" s="33"/>
      <c r="Z6" s="33"/>
      <c r="AA6" s="33"/>
      <c r="AB6" s="33"/>
    </row>
    <row r="7" spans="1:28" ht="20.25" customHeight="1">
      <c r="A7" s="35">
        <f>B8</f>
        <v>125900</v>
      </c>
      <c r="B7" s="36">
        <f>IF(L20="YES",C8*1,IF(L20="NO",B8*1))</f>
        <v>125900</v>
      </c>
      <c r="C7" s="36">
        <f>B7*5/100</f>
        <v>6295</v>
      </c>
      <c r="D7" s="36">
        <f>B7+C7</f>
        <v>132195</v>
      </c>
      <c r="E7" s="36">
        <f>D17</f>
        <v>15008.7605</v>
      </c>
      <c r="F7" s="36">
        <f>(C7)+(D10+D11+D12+D13+D16)*5/100</f>
        <v>6590</v>
      </c>
      <c r="G7" s="36">
        <f>B7+E7+F7</f>
        <v>147498.7605</v>
      </c>
      <c r="H7" s="36">
        <f>G7*D20</f>
        <v>29499.752100000002</v>
      </c>
      <c r="I7" s="36">
        <f>(G7-H7)</f>
        <v>117999.00840000001</v>
      </c>
      <c r="J7" s="36">
        <f>(((I7*D19)*1)+I7)/12</f>
        <v>10078.098642430001</v>
      </c>
      <c r="K7" s="36">
        <f>(((I7*D19)*2)+I7)/24</f>
        <v>5161.4732924300006</v>
      </c>
      <c r="L7" s="36">
        <f>(((I7*D19)*3)+I7)/36</f>
        <v>3522.5981757633335</v>
      </c>
      <c r="M7" s="36">
        <f>(((I7*D19)*4)+I7)/48</f>
        <v>2703.16061743</v>
      </c>
      <c r="N7" s="36">
        <f>((((I7*D19)*5)+I7)/60)</f>
        <v>2211.4980824300001</v>
      </c>
      <c r="O7" s="27"/>
      <c r="P7" s="9">
        <f>H7+H16</f>
        <v>30738.741688200003</v>
      </c>
      <c r="Q7" s="10"/>
      <c r="R7" s="10"/>
      <c r="S7" s="10"/>
      <c r="T7" s="11">
        <f>25973/2</f>
        <v>12986.5</v>
      </c>
      <c r="U7" s="10"/>
      <c r="V7" s="10"/>
      <c r="W7" s="10"/>
      <c r="X7" s="10"/>
      <c r="Y7" s="10"/>
      <c r="Z7" s="10"/>
      <c r="AA7" s="10"/>
      <c r="AB7" s="10"/>
    </row>
    <row r="8" spans="1:28" ht="20.25" customHeight="1">
      <c r="A8" s="37">
        <v>0.2</v>
      </c>
      <c r="B8" s="38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125900</v>
      </c>
      <c r="C8" s="39">
        <f>IF(L20="YES",N20,IF(L20="NO",N20))</f>
        <v>125900</v>
      </c>
      <c r="D8" s="36">
        <v>0</v>
      </c>
      <c r="E8" s="40"/>
      <c r="F8" s="194"/>
      <c r="G8" s="183"/>
      <c r="H8" s="41">
        <f>G7*20/100</f>
        <v>29499.752099999998</v>
      </c>
      <c r="I8" s="22"/>
      <c r="J8" s="42" t="s">
        <v>128</v>
      </c>
      <c r="K8" s="24">
        <f>(J7*K5+J7)/24</f>
        <v>419.92077676791672</v>
      </c>
      <c r="L8" s="24">
        <f>(J7*L5+J7)/36</f>
        <v>289.4373940668994</v>
      </c>
      <c r="M8" s="24">
        <f>(J7*M5+J7)/48</f>
        <v>224.19570271639074</v>
      </c>
      <c r="N8" s="24">
        <f>(J7*N5+J7)/60</f>
        <v>185.05068790608553</v>
      </c>
      <c r="O8" s="27"/>
      <c r="P8" s="9">
        <f>P7/12</f>
        <v>2561.5618073500004</v>
      </c>
      <c r="Q8" s="10"/>
      <c r="R8" s="10"/>
      <c r="S8" s="10"/>
      <c r="T8" s="10">
        <f>25973-12973</f>
        <v>13000</v>
      </c>
      <c r="U8" s="10"/>
      <c r="V8" s="10"/>
      <c r="W8" s="10"/>
      <c r="X8" s="10"/>
      <c r="Y8" s="10"/>
      <c r="Z8" s="10"/>
      <c r="AA8" s="10"/>
      <c r="AB8" s="10"/>
    </row>
    <row r="9" spans="1:28" ht="20.25" customHeight="1">
      <c r="A9" s="43">
        <f>B8/(100%-A8)</f>
        <v>157375</v>
      </c>
      <c r="B9" s="44">
        <f>B7-B8</f>
        <v>0</v>
      </c>
      <c r="C9" s="45"/>
      <c r="D9" s="46"/>
      <c r="E9" s="40"/>
      <c r="F9" s="194"/>
      <c r="G9" s="183"/>
      <c r="H9" s="40"/>
      <c r="I9" s="47" t="s">
        <v>129</v>
      </c>
      <c r="J9" s="48">
        <f>(J7*12)-(I7)</f>
        <v>2938.1753091600112</v>
      </c>
      <c r="K9" s="48">
        <f>(K7*24)-I7</f>
        <v>5876.3506183200079</v>
      </c>
      <c r="L9" s="48">
        <f>(L7*36)-I7</f>
        <v>8814.5259274800046</v>
      </c>
      <c r="M9" s="48">
        <f>(M7*48)-I7</f>
        <v>11752.701236640001</v>
      </c>
      <c r="N9" s="48">
        <f>(N7*60)-I7</f>
        <v>14690.876545799998</v>
      </c>
      <c r="O9" s="27"/>
      <c r="P9" s="9"/>
      <c r="Q9" s="10"/>
      <c r="R9" s="10"/>
      <c r="S9" s="10"/>
      <c r="T9" s="10">
        <f>T8/12</f>
        <v>1083.3333333333333</v>
      </c>
      <c r="U9" s="10"/>
      <c r="V9" s="10"/>
      <c r="W9" s="10"/>
      <c r="X9" s="10"/>
      <c r="Y9" s="10"/>
      <c r="Z9" s="10" t="s">
        <v>130</v>
      </c>
      <c r="AA9" s="10"/>
      <c r="AB9" s="10"/>
    </row>
    <row r="10" spans="1:28" ht="20.25" customHeight="1">
      <c r="A10" s="43"/>
      <c r="B10" s="47" t="s">
        <v>131</v>
      </c>
      <c r="C10" s="21" t="s">
        <v>132</v>
      </c>
      <c r="D10" s="46">
        <f>IF(C10="YES",800,IF(C10="NO",0))</f>
        <v>0</v>
      </c>
      <c r="E10" s="49"/>
      <c r="F10" s="50"/>
      <c r="G10" s="50"/>
      <c r="H10" s="40"/>
      <c r="I10" s="51" t="s">
        <v>133</v>
      </c>
      <c r="J10" s="52" t="s">
        <v>134</v>
      </c>
      <c r="K10" s="52">
        <f>IF(J10="YES",Z10,IF(J10="NO",0))</f>
        <v>1000</v>
      </c>
      <c r="L10" s="52"/>
      <c r="M10" s="52"/>
      <c r="N10" s="53">
        <f>(N8*60)-J7</f>
        <v>1024.9426319351314</v>
      </c>
      <c r="O10" s="27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4531.5112500000005</v>
      </c>
      <c r="P10" s="11"/>
      <c r="Q10" s="11">
        <f>5.25*3</f>
        <v>15.75</v>
      </c>
      <c r="R10" s="10"/>
      <c r="S10" s="10"/>
      <c r="T10" s="10"/>
      <c r="U10" s="10"/>
      <c r="V10" s="10"/>
      <c r="W10" s="10"/>
      <c r="X10" s="10"/>
      <c r="Y10" s="10"/>
      <c r="Z10" s="10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  <c r="AA10" s="10"/>
      <c r="AB10" s="10"/>
    </row>
    <row r="11" spans="1:28" ht="20.25" customHeight="1">
      <c r="A11" s="43"/>
      <c r="B11" s="47" t="s">
        <v>135</v>
      </c>
      <c r="C11" s="21" t="s">
        <v>132</v>
      </c>
      <c r="D11" s="46">
        <f>IF(C11="YES",O17,IF(C11="NO",0))</f>
        <v>0</v>
      </c>
      <c r="E11" s="40"/>
      <c r="F11" s="50"/>
      <c r="G11" s="50"/>
      <c r="H11" s="40"/>
      <c r="I11" s="22"/>
      <c r="J11" s="51" t="s">
        <v>136</v>
      </c>
      <c r="K11" s="51">
        <f>H8-K10</f>
        <v>28499.752099999998</v>
      </c>
      <c r="L11" s="47"/>
      <c r="M11" s="47"/>
      <c r="N11" s="54"/>
      <c r="O11" s="27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27"/>
      <c r="Q11" s="27"/>
      <c r="R11" s="27"/>
      <c r="S11" s="27"/>
      <c r="T11" s="27"/>
      <c r="U11" s="27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27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27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27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27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  <c r="Z11" s="10"/>
      <c r="AA11" s="10"/>
      <c r="AB11" s="10"/>
    </row>
    <row r="12" spans="1:28" ht="24.75" customHeight="1">
      <c r="A12" s="43"/>
      <c r="B12" s="47" t="s">
        <v>137</v>
      </c>
      <c r="C12" s="21" t="s">
        <v>132</v>
      </c>
      <c r="D12" s="46">
        <f t="shared" ref="D12:D13" si="1">IF(C12="YES",2000,IF(C12="NO",0))</f>
        <v>0</v>
      </c>
      <c r="E12" s="55"/>
      <c r="F12" s="55" t="s">
        <v>138</v>
      </c>
      <c r="G12" s="50"/>
      <c r="H12" s="40">
        <v>600</v>
      </c>
      <c r="I12" s="22"/>
      <c r="J12" s="51" t="s">
        <v>139</v>
      </c>
      <c r="K12" s="56">
        <v>0</v>
      </c>
      <c r="L12" s="56">
        <v>5.2499999999999998E-2</v>
      </c>
      <c r="M12" s="56">
        <v>0.126</v>
      </c>
      <c r="N12" s="57">
        <v>0.26250000000000001</v>
      </c>
      <c r="O12" s="27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10" t="s">
        <v>140</v>
      </c>
      <c r="AA12" s="10" t="s">
        <v>141</v>
      </c>
      <c r="AB12" s="10"/>
    </row>
    <row r="13" spans="1:28" ht="20.25" customHeight="1">
      <c r="A13" s="43">
        <f>B8*1.26582</f>
        <v>159366.73799999998</v>
      </c>
      <c r="B13" s="47" t="s">
        <v>142</v>
      </c>
      <c r="C13" s="21" t="s">
        <v>132</v>
      </c>
      <c r="D13" s="46">
        <f t="shared" si="1"/>
        <v>0</v>
      </c>
      <c r="E13" s="58"/>
      <c r="F13" s="58" t="s">
        <v>143</v>
      </c>
      <c r="G13" s="50"/>
      <c r="H13" s="40">
        <v>315</v>
      </c>
      <c r="I13" s="22"/>
      <c r="J13" s="51" t="s">
        <v>144</v>
      </c>
      <c r="K13" s="36" t="s">
        <v>145</v>
      </c>
      <c r="L13" s="36" t="s">
        <v>146</v>
      </c>
      <c r="M13" s="36" t="s">
        <v>108</v>
      </c>
      <c r="N13" s="59" t="s">
        <v>147</v>
      </c>
      <c r="O13" s="60">
        <f>IF(M21="3000-4999",6%,IF(M21="5000-9999",4.75%,IF(M21="10000-14999",3.15%,IF(M21="15000-24999",2.5%,IF(M21="25000-34999",2.25%,IF(M21="35000-99999",2.25%))))))</f>
        <v>4.7500000000000001E-2</v>
      </c>
      <c r="P13" s="9"/>
      <c r="Q13" s="9">
        <f>H7/12</f>
        <v>2458.3126750000001</v>
      </c>
      <c r="R13" s="10"/>
      <c r="S13" s="10"/>
      <c r="T13" s="10"/>
      <c r="U13" s="61">
        <f>IF(M21="3000-4999",6%,IF(M21="5000-9999",3.25%,IF(M21="10000-14999",3%,IF(M21="15000-24999",2.25%,IF(M21="25000-34999",2.15%,IF(M21="35000-99999",1.99%))))))</f>
        <v>3.2500000000000001E-2</v>
      </c>
      <c r="V13" s="10"/>
      <c r="W13" s="10"/>
      <c r="X13" s="10"/>
      <c r="Y13" s="10"/>
      <c r="Z13" s="62">
        <f>IF(M21="5000-9999",2.49%,IF(M21="10000-19999",2.19%,IF(M21="20000-34999",2.09%,IF(M21="35000-49999",1.89%,IF(M21="50000-99999",1.79%)))))</f>
        <v>2.4900000000000002E-2</v>
      </c>
      <c r="AA13" s="62">
        <f>IF(M21="5000-9999",2.59%,IF(M21="10000-19999",2.29%,IF(M21="20000-34999",2.19%,IF(M21="35000-49999",1.99%,IF(M21="50000-99999",1.89%)))))</f>
        <v>2.5899999999999999E-2</v>
      </c>
      <c r="AB13" s="10"/>
    </row>
    <row r="14" spans="1:28" ht="20.25" customHeight="1">
      <c r="A14" s="63" t="s">
        <v>148</v>
      </c>
      <c r="B14" s="47" t="s">
        <v>149</v>
      </c>
      <c r="C14" s="21" t="s">
        <v>134</v>
      </c>
      <c r="D14" s="36">
        <f>IF(C14="YES",U19*3.15*1.05/100,IF(C14="NO",U19*0/100))</f>
        <v>4577.2492500000008</v>
      </c>
      <c r="E14" s="64"/>
      <c r="F14" s="64" t="s">
        <v>149</v>
      </c>
      <c r="G14" s="65" t="s">
        <v>132</v>
      </c>
      <c r="H14" s="49">
        <f>IF(G14="YES",U19*3.15*1.05/100,IF(G14="NO",U19*0/100))</f>
        <v>0</v>
      </c>
      <c r="I14" s="22"/>
      <c r="J14" s="51" t="s">
        <v>150</v>
      </c>
      <c r="K14" s="51">
        <f>(H8*K12+H8)/3</f>
        <v>9833.2506999999987</v>
      </c>
      <c r="L14" s="51">
        <f>(H8*L12+H8)/12</f>
        <v>2587.3740904374999</v>
      </c>
      <c r="M14" s="51">
        <f>(H8*M12+H8)/24</f>
        <v>1384.0300360250001</v>
      </c>
      <c r="N14" s="66">
        <f>(H7*N12+H7)/60</f>
        <v>620.72395043749998</v>
      </c>
      <c r="O14" s="60">
        <f>IF(M21="3000-4999",3.89%,IF(M21="5000-9999",3.89%,IF(M21="10000-14999",3.89%,IF(M21="15000-24999",2.69%,IF(M21="25000-34999",2.69%,IF(M21="35000-99999",2.39%,IF(M21="76000-99999",2.19%)))))))</f>
        <v>3.8900000000000004E-2</v>
      </c>
      <c r="P14" s="9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ht="20.25" customHeight="1">
      <c r="A15" s="67">
        <f>(B7*3%)+10+120</f>
        <v>3907</v>
      </c>
      <c r="B15" s="47" t="s">
        <v>151</v>
      </c>
      <c r="C15" s="21" t="s">
        <v>134</v>
      </c>
      <c r="D15" s="36">
        <f>IF(C15="YES",O10,IF(C15="NO",0))</f>
        <v>4531.5112500000005</v>
      </c>
      <c r="E15" s="64"/>
      <c r="F15" s="64" t="s">
        <v>152</v>
      </c>
      <c r="G15" s="65" t="s">
        <v>132</v>
      </c>
      <c r="H15" s="49">
        <f>IF(G15="YES",O10,IF(G15="NO",0))</f>
        <v>0</v>
      </c>
      <c r="I15" s="22"/>
      <c r="J15" s="51"/>
      <c r="K15" s="51"/>
      <c r="L15" s="51"/>
      <c r="M15" s="51"/>
      <c r="N15" s="68"/>
      <c r="O15" s="60" t="b">
        <f>IF(M21="3000-4999",4.99%, IF(M21="5000-11999",2.75%,IF(M21="12000-19999",2.75%,IF(M21="20000-39999",2.25%,IF(M21="40000-69999",2.39%,IF(M21="70000-99999",2.25%))))))</f>
        <v>0</v>
      </c>
      <c r="P15" s="62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ht="20.25" customHeight="1">
      <c r="A16" s="67">
        <f>((B7-B8)*3%+10+120)</f>
        <v>130</v>
      </c>
      <c r="B16" s="47" t="s">
        <v>153</v>
      </c>
      <c r="C16" s="21" t="s">
        <v>134</v>
      </c>
      <c r="D16" s="36">
        <f>IF(C16="YES",O16,IF(C16="NO",0))</f>
        <v>5900</v>
      </c>
      <c r="E16" s="58"/>
      <c r="F16" s="58" t="s">
        <v>154</v>
      </c>
      <c r="G16" s="69"/>
      <c r="H16" s="40">
        <f>I7*1.05%</f>
        <v>1238.9895882000001</v>
      </c>
      <c r="I16" s="22"/>
      <c r="J16" s="51" t="s">
        <v>129</v>
      </c>
      <c r="K16" s="51">
        <f>(K14*3)-H8</f>
        <v>0</v>
      </c>
      <c r="L16" s="51">
        <f>(L14*12)-H8</f>
        <v>1548.7369852500015</v>
      </c>
      <c r="M16" s="51">
        <f>(M14*24)-H8</f>
        <v>3716.968764600002</v>
      </c>
      <c r="N16" s="68"/>
      <c r="O16" s="27">
        <f>IF(B16="RMC-10-70KMS",O11,IF(B16="RMC-10-100000KMS",V11,IF(B16="RMC-40-70KMS",U11, IF(B16="RMC-10-40KMS",X11, IF(B16="RMC-10-60KMS",Y11, IF(B16="RMC-40-100000KMS",W11,0))))))</f>
        <v>5900</v>
      </c>
      <c r="P16" s="9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ht="20.25" customHeight="1">
      <c r="A17" s="67">
        <f>A15+A16</f>
        <v>4037</v>
      </c>
      <c r="B17" s="47"/>
      <c r="C17" s="21"/>
      <c r="D17" s="36">
        <f>SUM(D10:D16)</f>
        <v>15008.7605</v>
      </c>
      <c r="E17" s="40"/>
      <c r="F17" s="40"/>
      <c r="G17" s="40"/>
      <c r="H17" s="40">
        <f>H7+H12+H15+H16</f>
        <v>31338.741688200003</v>
      </c>
      <c r="I17" s="40"/>
      <c r="J17" s="23"/>
      <c r="K17" s="68"/>
      <c r="L17" s="68"/>
      <c r="M17" s="68"/>
      <c r="N17" s="68"/>
      <c r="O17" s="27">
        <f>IF(B11="FO Ceramic+ Intr&amp;Extr CeramicGold WdwTnt",2700,IF(B11="FO Mirror Camera Sensor",2000))</f>
        <v>2700</v>
      </c>
      <c r="P17" s="9"/>
      <c r="Q17" s="10"/>
      <c r="R17" s="10"/>
      <c r="S17" s="10"/>
      <c r="T17" s="10">
        <f>19615-791</f>
        <v>18824</v>
      </c>
      <c r="U17" s="10"/>
      <c r="V17" s="10"/>
      <c r="W17" s="10"/>
      <c r="X17" s="10"/>
      <c r="Y17" s="10"/>
      <c r="Z17" s="10"/>
      <c r="AA17" s="10"/>
      <c r="AB17" s="10"/>
    </row>
    <row r="18" spans="1:28" ht="20.25" customHeight="1">
      <c r="A18" s="70" t="s">
        <v>155</v>
      </c>
      <c r="B18" s="41" t="s">
        <v>156</v>
      </c>
      <c r="C18" s="71"/>
      <c r="D18" s="72">
        <v>0</v>
      </c>
      <c r="E18" s="48"/>
      <c r="F18" s="23"/>
      <c r="G18" s="23"/>
      <c r="H18" s="22"/>
      <c r="I18" s="22"/>
      <c r="J18" s="22"/>
      <c r="K18" s="22"/>
      <c r="L18" s="22"/>
      <c r="M18" s="22"/>
      <c r="N18" s="22"/>
      <c r="O18" s="27"/>
      <c r="P18" s="9"/>
      <c r="Q18" s="10"/>
      <c r="R18" s="10"/>
      <c r="S18" s="10"/>
      <c r="T18" s="10"/>
      <c r="U18" s="73" t="s">
        <v>157</v>
      </c>
      <c r="V18" s="73" t="s">
        <v>157</v>
      </c>
      <c r="W18" s="10"/>
      <c r="X18" s="10"/>
      <c r="Y18" s="10"/>
      <c r="Z18" s="10"/>
      <c r="AA18" s="10"/>
      <c r="AB18" s="10"/>
    </row>
    <row r="19" spans="1:28" ht="20.25" customHeight="1">
      <c r="A19" s="67">
        <f>B8*3.15%</f>
        <v>3965.85</v>
      </c>
      <c r="B19" s="40" t="s">
        <v>158</v>
      </c>
      <c r="C19" s="65"/>
      <c r="D19" s="74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3"/>
      <c r="F19" s="75"/>
      <c r="G19" s="195" t="s">
        <v>159</v>
      </c>
      <c r="H19" s="182"/>
      <c r="I19" s="183"/>
      <c r="J19" s="44">
        <f>H7/365</f>
        <v>80.821238630136989</v>
      </c>
      <c r="K19" s="22"/>
      <c r="L19" s="22"/>
      <c r="M19" s="22"/>
      <c r="N19" s="24">
        <f>D7</f>
        <v>132195</v>
      </c>
      <c r="O19" s="60" t="b">
        <f>IF(M21="5000-11999",3.35%,IF(M21="12000-19999",3.35%,IF(M21="20000-39999",2.85%,IF(M21="40000-69999",2.85%,IF(M21="70000-99999",2.85%)))))</f>
        <v>0</v>
      </c>
      <c r="P19" s="9">
        <f>81400-2500</f>
        <v>78900</v>
      </c>
      <c r="Q19" s="10"/>
      <c r="R19" s="10"/>
      <c r="S19" s="10"/>
      <c r="T19" s="10"/>
      <c r="U19" s="76">
        <f>V19</f>
        <v>138390</v>
      </c>
      <c r="V19" s="77">
        <f>(B7+D10+D11+D12+D13+D16)*1.05</f>
        <v>138390</v>
      </c>
      <c r="W19" s="10"/>
      <c r="X19" s="11">
        <f>G7*3.15*1.05/100</f>
        <v>4878.5215035374995</v>
      </c>
      <c r="Y19" s="11">
        <f>G7*3/100+510*1.05</f>
        <v>4960.4628150000008</v>
      </c>
      <c r="Z19" s="11">
        <f>Y19+X19</f>
        <v>9838.9843185374993</v>
      </c>
      <c r="AA19" s="11">
        <f>(Z19)-(D14+D15)</f>
        <v>730.22381853749903</v>
      </c>
      <c r="AB19" s="11">
        <f>AA19*1.25</f>
        <v>912.77977317187379</v>
      </c>
    </row>
    <row r="20" spans="1:28" ht="20.25" customHeight="1">
      <c r="A20" s="67"/>
      <c r="B20" s="40" t="s">
        <v>160</v>
      </c>
      <c r="C20" s="78"/>
      <c r="D20" s="79">
        <v>0.2</v>
      </c>
      <c r="E20" s="22"/>
      <c r="F20" s="22"/>
      <c r="G20" s="54"/>
      <c r="H20" s="54"/>
      <c r="I20" s="54"/>
      <c r="J20" s="48"/>
      <c r="K20" s="80" t="s">
        <v>161</v>
      </c>
      <c r="L20" s="80" t="s">
        <v>132</v>
      </c>
      <c r="M20" s="80">
        <f>IF(L20="YES",O12,IF(L20="NO",0))</f>
        <v>0</v>
      </c>
      <c r="N20" s="24">
        <f>B8-M20</f>
        <v>125900</v>
      </c>
      <c r="O20" s="27"/>
      <c r="P20" s="62"/>
      <c r="Q20" s="10"/>
      <c r="R20" s="10"/>
      <c r="S20" s="10"/>
      <c r="T20" s="10">
        <f>1992+1084</f>
        <v>3076</v>
      </c>
      <c r="U20" s="10"/>
      <c r="V20" s="9"/>
      <c r="W20" s="10"/>
      <c r="X20" s="11">
        <f>X19-D14</f>
        <v>301.27225353749873</v>
      </c>
      <c r="Y20" s="11">
        <f>Y19-D15</f>
        <v>428.9515650000003</v>
      </c>
      <c r="Z20" s="10"/>
      <c r="AA20" s="11">
        <f>X20+Y20</f>
        <v>730.22381853749903</v>
      </c>
      <c r="AB20" s="10"/>
    </row>
    <row r="21" spans="1:28" ht="20.25" customHeight="1">
      <c r="A21" s="81">
        <f>A19+A20</f>
        <v>3965.85</v>
      </c>
      <c r="B21" s="22"/>
      <c r="C21" s="23"/>
      <c r="D21" s="22"/>
      <c r="E21" s="22"/>
      <c r="F21" s="22"/>
      <c r="G21" s="22"/>
      <c r="H21" s="22"/>
      <c r="I21" s="22"/>
      <c r="J21" s="47" t="s">
        <v>162</v>
      </c>
      <c r="K21" s="82" t="s">
        <v>140</v>
      </c>
      <c r="L21" s="47" t="s">
        <v>163</v>
      </c>
      <c r="M21" s="83" t="s">
        <v>164</v>
      </c>
      <c r="N21" s="84"/>
      <c r="O21" s="27"/>
      <c r="P21" s="9"/>
      <c r="Q21" s="10"/>
      <c r="R21" s="10"/>
      <c r="S21" s="10"/>
      <c r="T21" s="10">
        <f>25973-12973</f>
        <v>13000</v>
      </c>
      <c r="U21" s="10"/>
      <c r="V21" s="10"/>
      <c r="W21" s="10"/>
      <c r="X21" s="10"/>
      <c r="Y21" s="10"/>
      <c r="Z21" s="10"/>
      <c r="AA21" s="10"/>
      <c r="AB21" s="10"/>
    </row>
    <row r="22" spans="1:28" ht="20.25" customHeight="1">
      <c r="A22" s="81"/>
      <c r="B22" s="196" t="s">
        <v>165</v>
      </c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3"/>
      <c r="O22" s="27"/>
      <c r="P22" s="9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20.25" customHeight="1">
      <c r="A23" s="85" t="s">
        <v>166</v>
      </c>
      <c r="B23" s="86" t="s">
        <v>167</v>
      </c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8"/>
      <c r="O23" s="27">
        <f>N7+K14</f>
        <v>12044.748782429999</v>
      </c>
      <c r="P23" s="9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20.25" customHeight="1">
      <c r="A24" s="85" t="s">
        <v>166</v>
      </c>
      <c r="B24" s="86" t="s">
        <v>168</v>
      </c>
      <c r="C24" s="87"/>
      <c r="D24" s="87"/>
      <c r="E24" s="87"/>
      <c r="F24" s="87"/>
      <c r="G24" s="87"/>
      <c r="H24" s="89">
        <f>H7/365</f>
        <v>80.821238630136989</v>
      </c>
      <c r="I24" s="89">
        <f>H7/365</f>
        <v>80.821238630136989</v>
      </c>
      <c r="J24" s="87"/>
      <c r="K24" s="87"/>
      <c r="L24" s="87"/>
      <c r="M24" s="87"/>
      <c r="N24" s="90"/>
      <c r="O24" s="27"/>
      <c r="P24" s="9">
        <f>1232+480</f>
        <v>1712</v>
      </c>
      <c r="Q24" s="10"/>
      <c r="R24" s="10"/>
      <c r="S24" s="10"/>
      <c r="T24" s="10">
        <f>88704/1.05</f>
        <v>84480</v>
      </c>
      <c r="U24" s="10"/>
      <c r="V24" s="10"/>
      <c r="W24" s="10"/>
      <c r="X24" s="10"/>
      <c r="Y24" s="10"/>
      <c r="Z24" s="10"/>
      <c r="AA24" s="10"/>
      <c r="AB24" s="10"/>
    </row>
    <row r="25" spans="1:28" ht="20.25" customHeight="1">
      <c r="A25" s="85" t="s">
        <v>166</v>
      </c>
      <c r="B25" s="86" t="s">
        <v>169</v>
      </c>
      <c r="C25" s="87"/>
      <c r="D25" s="87"/>
      <c r="E25" s="87"/>
      <c r="F25" s="87"/>
      <c r="G25" s="87"/>
      <c r="H25" s="87"/>
      <c r="I25" s="89">
        <f>I24*365*3</f>
        <v>88499.256300000008</v>
      </c>
      <c r="J25" s="87"/>
      <c r="K25" s="87"/>
      <c r="L25" s="87"/>
      <c r="M25" s="87"/>
      <c r="N25" s="90"/>
      <c r="O25" s="27"/>
      <c r="P25" s="9"/>
      <c r="Q25" s="10">
        <f>79400-5233.33</f>
        <v>74166.67</v>
      </c>
      <c r="R25" s="10">
        <f>Q25*1.05</f>
        <v>77875.003500000006</v>
      </c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20.25" customHeight="1">
      <c r="A26" s="85" t="s">
        <v>166</v>
      </c>
      <c r="B26" s="86" t="s">
        <v>170</v>
      </c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90"/>
      <c r="O26" s="27" t="s">
        <v>171</v>
      </c>
      <c r="P26" s="9"/>
      <c r="Q26" s="10"/>
      <c r="R26" s="10">
        <f>R25+2469</f>
        <v>80344.003500000006</v>
      </c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20.25" customHeight="1">
      <c r="A27" s="85" t="s">
        <v>166</v>
      </c>
      <c r="B27" s="86" t="s">
        <v>172</v>
      </c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90"/>
      <c r="O27" s="27">
        <f>129500-110900</f>
        <v>18600</v>
      </c>
      <c r="P27" s="9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20.25" customHeight="1">
      <c r="A28" s="8"/>
      <c r="B28" s="86" t="s">
        <v>173</v>
      </c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90"/>
      <c r="O28" s="27"/>
      <c r="P28" s="9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ht="20.25" customHeight="1">
      <c r="A29" s="8"/>
      <c r="B29" s="86" t="s">
        <v>174</v>
      </c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91"/>
      <c r="O29" s="27"/>
      <c r="P29" s="9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20.25" customHeight="1">
      <c r="A30" s="8"/>
      <c r="B30" s="181" t="s">
        <v>175</v>
      </c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3"/>
      <c r="O30" s="27"/>
      <c r="P30" s="9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ht="20.25" customHeight="1">
      <c r="A31" s="8"/>
      <c r="B31" s="184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3"/>
      <c r="O31" s="27"/>
      <c r="P31" s="9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20.25" customHeight="1">
      <c r="A32" s="8"/>
      <c r="B32" s="184" t="s">
        <v>176</v>
      </c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3"/>
      <c r="O32" s="27"/>
      <c r="P32" s="9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20.25" customHeight="1">
      <c r="A33" s="8"/>
      <c r="B33" s="184" t="s">
        <v>177</v>
      </c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3"/>
      <c r="O33" s="27"/>
      <c r="P33" s="9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20.25" customHeight="1">
      <c r="A34" s="10"/>
      <c r="B34" s="92" t="s">
        <v>178</v>
      </c>
      <c r="C34" s="93"/>
      <c r="D34" s="93"/>
      <c r="E34" s="93"/>
      <c r="F34" s="93"/>
      <c r="G34" s="94"/>
      <c r="H34" s="94"/>
      <c r="I34" s="93"/>
      <c r="J34" s="93"/>
      <c r="K34" s="93"/>
      <c r="L34" s="93"/>
      <c r="M34" s="95" t="s">
        <v>179</v>
      </c>
      <c r="N34" s="9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9"/>
      <c r="P34" s="9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ht="20.25" customHeight="1">
      <c r="A35" s="8"/>
      <c r="B35" s="97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9"/>
      <c r="O35" s="9"/>
      <c r="P35" s="9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20.25" customHeight="1">
      <c r="A36" s="8"/>
      <c r="B36" s="97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9"/>
      <c r="O36" s="9"/>
      <c r="P36" s="9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20.25" customHeight="1">
      <c r="A37" s="8"/>
      <c r="B37" s="97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9"/>
      <c r="O37" s="9"/>
      <c r="P37" s="9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20.25" customHeight="1">
      <c r="A38" s="8"/>
      <c r="B38" s="100" t="s">
        <v>180</v>
      </c>
      <c r="C38" s="101"/>
      <c r="D38" s="102"/>
      <c r="E38" s="9"/>
      <c r="F38" s="9"/>
      <c r="G38" s="9"/>
      <c r="H38" s="9"/>
      <c r="I38" s="9"/>
      <c r="J38" s="103"/>
      <c r="K38" s="9"/>
      <c r="L38" s="9"/>
      <c r="M38" s="9"/>
      <c r="N38" s="104"/>
      <c r="O38" s="9"/>
      <c r="P38" s="9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20.25" customHeight="1">
      <c r="A39" s="8"/>
      <c r="B39" s="100" t="s">
        <v>181</v>
      </c>
      <c r="C39" s="105"/>
      <c r="D39" s="102"/>
      <c r="E39" s="9"/>
      <c r="F39" s="9"/>
      <c r="G39" s="9"/>
      <c r="H39" s="9"/>
      <c r="I39" s="9"/>
      <c r="J39" s="103"/>
      <c r="K39" s="9"/>
      <c r="L39" s="9"/>
      <c r="M39" s="9"/>
      <c r="N39" s="106"/>
      <c r="O39" s="9"/>
      <c r="P39" s="9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20.25" customHeight="1">
      <c r="A40" s="8"/>
      <c r="B40" s="100" t="s">
        <v>182</v>
      </c>
      <c r="C40" s="13"/>
      <c r="D40" s="9"/>
      <c r="E40" s="9"/>
      <c r="F40" s="9"/>
      <c r="G40" s="9"/>
      <c r="H40" s="9"/>
      <c r="I40" s="9"/>
      <c r="J40" s="103"/>
      <c r="K40" s="9"/>
      <c r="L40" s="9"/>
      <c r="M40" s="9"/>
      <c r="N40" s="106"/>
      <c r="O40" s="9"/>
      <c r="P40" s="9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20.25" customHeight="1">
      <c r="A41" s="8"/>
      <c r="B41" s="100" t="s">
        <v>183</v>
      </c>
      <c r="C41" s="12"/>
      <c r="D41" s="9"/>
      <c r="E41" s="9"/>
      <c r="F41" s="9"/>
      <c r="G41" s="9"/>
      <c r="H41" s="9"/>
      <c r="I41" s="9"/>
      <c r="J41" s="9"/>
      <c r="K41" s="9"/>
      <c r="L41" s="9"/>
      <c r="M41" s="9"/>
      <c r="N41" s="106"/>
      <c r="O41" s="9"/>
      <c r="P41" s="9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20.25" customHeight="1">
      <c r="A42" s="8"/>
      <c r="B42" s="100" t="s">
        <v>184</v>
      </c>
      <c r="C42" s="12"/>
      <c r="D42" s="9"/>
      <c r="E42" s="9"/>
      <c r="F42" s="9"/>
      <c r="G42" s="9"/>
      <c r="H42" s="9"/>
      <c r="I42" s="9"/>
      <c r="J42" s="9"/>
      <c r="K42" s="9"/>
      <c r="L42" s="9"/>
      <c r="M42" s="9"/>
      <c r="N42" s="106"/>
      <c r="O42" s="9"/>
      <c r="P42" s="9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20.25" customHeight="1">
      <c r="A43" s="8"/>
      <c r="B43" s="100" t="s">
        <v>185</v>
      </c>
      <c r="C43" s="12"/>
      <c r="D43" s="9"/>
      <c r="E43" s="9"/>
      <c r="F43" s="9"/>
      <c r="G43" s="9"/>
      <c r="H43" s="9"/>
      <c r="I43" s="9"/>
      <c r="J43" s="9"/>
      <c r="K43" s="9"/>
      <c r="L43" s="9"/>
      <c r="M43" s="9"/>
      <c r="N43" s="106"/>
      <c r="O43" s="9"/>
      <c r="P43" s="9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20.25" customHeight="1">
      <c r="A44" s="8"/>
      <c r="B44" s="100" t="s">
        <v>186</v>
      </c>
      <c r="C44" s="12"/>
      <c r="D44" s="9"/>
      <c r="E44" s="9"/>
      <c r="F44" s="9"/>
      <c r="G44" s="9"/>
      <c r="H44" s="9"/>
      <c r="I44" s="9"/>
      <c r="J44" s="9"/>
      <c r="K44" s="9"/>
      <c r="L44" s="9"/>
      <c r="M44" s="9"/>
      <c r="N44" s="106"/>
      <c r="O44" s="9"/>
      <c r="P44" s="9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20.25" customHeight="1">
      <c r="A45" s="8"/>
      <c r="B45" s="100" t="s">
        <v>187</v>
      </c>
      <c r="C45" s="12"/>
      <c r="D45" s="9"/>
      <c r="E45" s="9"/>
      <c r="F45" s="9"/>
      <c r="G45" s="9"/>
      <c r="H45" s="9"/>
      <c r="I45" s="9"/>
      <c r="J45" s="9"/>
      <c r="K45" s="9"/>
      <c r="L45" s="9"/>
      <c r="M45" s="9"/>
      <c r="N45" s="106"/>
      <c r="O45" s="9"/>
      <c r="P45" s="9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20.25" customHeight="1">
      <c r="A46" s="8"/>
      <c r="B46" s="100" t="s">
        <v>188</v>
      </c>
      <c r="C46" s="12"/>
      <c r="D46" s="9"/>
      <c r="E46" s="9"/>
      <c r="F46" s="9"/>
      <c r="G46" s="9"/>
      <c r="H46" s="9"/>
      <c r="I46" s="9"/>
      <c r="J46" s="9"/>
      <c r="K46" s="9"/>
      <c r="L46" s="9"/>
      <c r="M46" s="9"/>
      <c r="N46" s="106"/>
      <c r="O46" s="9"/>
      <c r="P46" s="9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20.25" customHeight="1">
      <c r="A47" s="8"/>
      <c r="B47" s="197" t="s">
        <v>176</v>
      </c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3"/>
      <c r="O47" s="27"/>
      <c r="P47" s="9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20.25" customHeight="1">
      <c r="A48" s="8"/>
      <c r="B48" s="197" t="s">
        <v>177</v>
      </c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3"/>
      <c r="O48" s="27"/>
      <c r="P48" s="9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20.25" customHeight="1">
      <c r="A49" s="8"/>
      <c r="B49" s="197" t="s">
        <v>189</v>
      </c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3"/>
      <c r="O49" s="9"/>
      <c r="P49" s="9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20.25" customHeight="1">
      <c r="A50" s="8"/>
      <c r="B50" s="107"/>
      <c r="C50" s="108" t="s">
        <v>190</v>
      </c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9"/>
      <c r="P50" s="9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20.25" customHeight="1">
      <c r="A51" s="8"/>
      <c r="B51" s="107"/>
      <c r="C51" s="108" t="s">
        <v>191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9"/>
      <c r="P51" s="9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20.25" customHeight="1">
      <c r="A52" s="8"/>
      <c r="B52" s="107"/>
      <c r="C52" s="108" t="s">
        <v>192</v>
      </c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9"/>
      <c r="P52" s="9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20.25" customHeight="1">
      <c r="A53" s="8"/>
      <c r="B53" s="107"/>
      <c r="C53" s="108" t="s">
        <v>193</v>
      </c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9"/>
      <c r="P53" s="9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20.25" customHeight="1">
      <c r="A54" s="8"/>
      <c r="B54" s="107"/>
      <c r="C54" s="108" t="s">
        <v>194</v>
      </c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9"/>
      <c r="P54" s="9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20.25" customHeight="1">
      <c r="A55" s="8"/>
      <c r="B55" s="107"/>
      <c r="C55" s="109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9"/>
      <c r="P55" s="9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20.25" customHeight="1">
      <c r="A56" s="8"/>
      <c r="B56" s="107"/>
      <c r="C56" s="109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9"/>
      <c r="P56" s="9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20.25" customHeight="1">
      <c r="A57" s="8"/>
      <c r="B57" s="107"/>
      <c r="C57" s="109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9"/>
      <c r="P57" s="9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20.25" customHeight="1">
      <c r="A58" s="8"/>
      <c r="B58" s="107"/>
      <c r="C58" s="109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9"/>
      <c r="P58" s="9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20.25" customHeight="1">
      <c r="A59" s="8"/>
      <c r="B59" s="107"/>
      <c r="C59" s="109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9"/>
      <c r="P59" s="9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20.25" customHeight="1">
      <c r="A60" s="8"/>
      <c r="B60" s="107"/>
      <c r="C60" s="109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9"/>
      <c r="P60" s="9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20.25" customHeight="1">
      <c r="A61" s="8"/>
      <c r="B61" s="107"/>
      <c r="C61" s="109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9"/>
      <c r="P61" s="9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20.25" customHeight="1">
      <c r="A62" s="8"/>
      <c r="B62" s="107"/>
      <c r="C62" s="109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9"/>
      <c r="P62" s="9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20.25" customHeight="1">
      <c r="A63" s="8"/>
      <c r="B63" s="107"/>
      <c r="C63" s="109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9"/>
      <c r="P63" s="9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20.25" customHeight="1">
      <c r="A64" s="8"/>
      <c r="B64" s="107"/>
      <c r="C64" s="109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9"/>
      <c r="P64" s="9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20.25" customHeight="1">
      <c r="A65" s="8"/>
      <c r="B65" s="107"/>
      <c r="C65" s="109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9"/>
      <c r="P65" s="9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20.25" customHeight="1">
      <c r="A66" s="8"/>
      <c r="B66" s="107"/>
      <c r="C66" s="109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9"/>
      <c r="P66" s="9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20.25" customHeight="1">
      <c r="A67" s="8"/>
      <c r="B67" s="107"/>
      <c r="C67" s="109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9"/>
      <c r="P67" s="9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20.25" customHeight="1">
      <c r="A68" s="8"/>
      <c r="B68" s="107"/>
      <c r="C68" s="109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9"/>
      <c r="P68" s="9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20.25" customHeight="1">
      <c r="A69" s="8"/>
      <c r="B69" s="107"/>
      <c r="C69" s="109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9"/>
      <c r="P69" s="9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20.25" customHeight="1">
      <c r="A70" s="8"/>
      <c r="B70" s="107"/>
      <c r="C70" s="109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9"/>
      <c r="P70" s="9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20.25" customHeight="1">
      <c r="A71" s="8"/>
      <c r="B71" s="107"/>
      <c r="C71" s="109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9"/>
      <c r="P71" s="9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20.25" customHeight="1">
      <c r="A72" s="8"/>
      <c r="B72" s="107"/>
      <c r="C72" s="109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9"/>
      <c r="P72" s="9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20.25" customHeight="1">
      <c r="A73" s="8"/>
      <c r="B73" s="107"/>
      <c r="C73" s="109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9"/>
      <c r="P73" s="9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20.25" customHeight="1">
      <c r="A74" s="8"/>
      <c r="B74" s="107"/>
      <c r="C74" s="109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9"/>
      <c r="P74" s="9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20.25" customHeight="1">
      <c r="A75" s="8"/>
      <c r="B75" s="107"/>
      <c r="C75" s="109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9"/>
      <c r="P75" s="9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20.25" customHeight="1">
      <c r="A76" s="8"/>
      <c r="B76" s="107"/>
      <c r="C76" s="109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9"/>
      <c r="P76" s="9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20.25" customHeight="1">
      <c r="A77" s="8"/>
      <c r="B77" s="107"/>
      <c r="C77" s="109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9"/>
      <c r="P77" s="9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20.25" customHeight="1">
      <c r="A78" s="8"/>
      <c r="B78" s="107"/>
      <c r="C78" s="109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9"/>
      <c r="P78" s="9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20.25" customHeight="1">
      <c r="A79" s="8"/>
      <c r="B79" s="107"/>
      <c r="C79" s="109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9"/>
      <c r="P79" s="9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20.25" customHeight="1">
      <c r="A80" s="8"/>
      <c r="B80" s="107"/>
      <c r="C80" s="109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9"/>
      <c r="P80" s="9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20.25" customHeight="1">
      <c r="A81" s="8"/>
      <c r="B81" s="107"/>
      <c r="C81" s="109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9"/>
      <c r="P81" s="9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20.25" customHeight="1">
      <c r="A82" s="8"/>
      <c r="B82" s="107"/>
      <c r="C82" s="109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9"/>
      <c r="P82" s="9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20.25" customHeight="1">
      <c r="A83" s="8"/>
      <c r="B83" s="107"/>
      <c r="C83" s="109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9"/>
      <c r="P83" s="9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20.25" customHeight="1">
      <c r="A84" s="8"/>
      <c r="B84" s="107"/>
      <c r="C84" s="109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9"/>
      <c r="P84" s="9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20.25" customHeight="1">
      <c r="A85" s="8"/>
      <c r="B85" s="107"/>
      <c r="C85" s="109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9"/>
      <c r="P85" s="9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20.25" customHeight="1">
      <c r="A86" s="8"/>
      <c r="B86" s="107"/>
      <c r="C86" s="109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9"/>
      <c r="P86" s="9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20.25" customHeight="1">
      <c r="A87" s="8"/>
      <c r="B87" s="107"/>
      <c r="C87" s="109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9"/>
      <c r="P87" s="9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20.25" customHeight="1">
      <c r="A88" s="8"/>
      <c r="B88" s="107"/>
      <c r="C88" s="109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9"/>
      <c r="P88" s="9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20.25" customHeight="1">
      <c r="A89" s="8"/>
      <c r="B89" s="107"/>
      <c r="C89" s="109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9"/>
      <c r="P89" s="9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20.25" customHeight="1">
      <c r="A90" s="8"/>
      <c r="B90" s="107"/>
      <c r="C90" s="109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9"/>
      <c r="P90" s="9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20.25" customHeight="1">
      <c r="A91" s="8"/>
      <c r="B91" s="107"/>
      <c r="C91" s="109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9"/>
      <c r="P91" s="9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20.25" customHeight="1">
      <c r="A92" s="8"/>
      <c r="B92" s="107"/>
      <c r="C92" s="109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9"/>
      <c r="P92" s="9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20.25" customHeight="1">
      <c r="A93" s="8"/>
      <c r="B93" s="107"/>
      <c r="C93" s="109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9"/>
      <c r="P93" s="9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20.25" customHeight="1">
      <c r="A94" s="8"/>
      <c r="B94" s="107"/>
      <c r="C94" s="109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9"/>
      <c r="P94" s="9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20.25" customHeight="1">
      <c r="A95" s="8"/>
      <c r="B95" s="107"/>
      <c r="C95" s="109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9"/>
      <c r="P95" s="9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20.25" customHeight="1">
      <c r="A96" s="8"/>
      <c r="B96" s="107"/>
      <c r="C96" s="109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9"/>
      <c r="P96" s="9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ht="20.25" customHeight="1">
      <c r="A97" s="8"/>
      <c r="B97" s="107"/>
      <c r="C97" s="109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9"/>
      <c r="P97" s="9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ht="20.25" customHeight="1">
      <c r="A98" s="8"/>
      <c r="B98" s="107"/>
      <c r="C98" s="109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9"/>
      <c r="P98" s="9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ht="20.25" customHeight="1">
      <c r="A99" s="8"/>
      <c r="B99" s="107"/>
      <c r="C99" s="109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9"/>
      <c r="P99" s="9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ht="20.25" customHeight="1">
      <c r="A100" s="8"/>
      <c r="B100" s="107"/>
      <c r="C100" s="109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9"/>
      <c r="P100" s="9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ht="20.25" customHeight="1">
      <c r="A101" s="8"/>
      <c r="B101" s="107"/>
      <c r="C101" s="109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9"/>
      <c r="P101" s="9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ht="20.25" customHeight="1">
      <c r="A102" s="8"/>
      <c r="B102" s="107"/>
      <c r="C102" s="109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9"/>
      <c r="P102" s="9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ht="20.25" customHeight="1">
      <c r="A103" s="8"/>
      <c r="B103" s="107"/>
      <c r="C103" s="109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9"/>
      <c r="P103" s="9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ht="20.25" customHeight="1">
      <c r="A104" s="8"/>
      <c r="B104" s="107"/>
      <c r="C104" s="109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9"/>
      <c r="P104" s="9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ht="20.25" customHeight="1">
      <c r="A105" s="8"/>
      <c r="B105" s="107"/>
      <c r="C105" s="109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9"/>
      <c r="P105" s="9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ht="20.25" customHeight="1">
      <c r="A106" s="8"/>
      <c r="B106" s="107"/>
      <c r="C106" s="109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9"/>
      <c r="P106" s="9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ht="20.25" customHeight="1">
      <c r="A107" s="8"/>
      <c r="B107" s="107"/>
      <c r="C107" s="109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9"/>
      <c r="P107" s="9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20.25" customHeight="1">
      <c r="A108" s="8"/>
      <c r="B108" s="107"/>
      <c r="C108" s="109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9"/>
      <c r="P108" s="9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ht="20.25" customHeight="1">
      <c r="A109" s="8"/>
      <c r="B109" s="107"/>
      <c r="C109" s="109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9"/>
      <c r="P109" s="9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ht="20.25" customHeight="1">
      <c r="A110" s="8"/>
      <c r="B110" s="107"/>
      <c r="C110" s="109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9"/>
      <c r="P110" s="9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ht="20.25" customHeight="1">
      <c r="A111" s="8"/>
      <c r="B111" s="107"/>
      <c r="C111" s="109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9"/>
      <c r="P111" s="9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ht="20.25" customHeight="1">
      <c r="A112" s="8"/>
      <c r="B112" s="107"/>
      <c r="C112" s="109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9"/>
      <c r="P112" s="9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ht="20.25" customHeight="1">
      <c r="A113" s="8"/>
      <c r="B113" s="107"/>
      <c r="C113" s="109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9"/>
      <c r="P113" s="9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ht="20.25" customHeight="1">
      <c r="A114" s="8"/>
      <c r="B114" s="107"/>
      <c r="C114" s="109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9"/>
      <c r="P114" s="9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ht="20.25" customHeight="1">
      <c r="A115" s="8"/>
      <c r="B115" s="107"/>
      <c r="C115" s="109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9"/>
      <c r="P115" s="9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ht="20.25" customHeight="1">
      <c r="A116" s="8"/>
      <c r="B116" s="107"/>
      <c r="C116" s="109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9"/>
      <c r="P116" s="9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ht="20.25" customHeight="1">
      <c r="A117" s="8"/>
      <c r="B117" s="107"/>
      <c r="C117" s="109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9"/>
      <c r="P117" s="9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ht="20.25" customHeight="1">
      <c r="A118" s="8"/>
      <c r="B118" s="107"/>
      <c r="C118" s="109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9"/>
      <c r="P118" s="9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ht="20.25" customHeight="1">
      <c r="A119" s="8"/>
      <c r="B119" s="107"/>
      <c r="C119" s="109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9"/>
      <c r="P119" s="9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20.25" customHeight="1">
      <c r="A120" s="8"/>
      <c r="B120" s="107"/>
      <c r="C120" s="109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9"/>
      <c r="P120" s="9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ht="20.25" customHeight="1">
      <c r="A121" s="8"/>
      <c r="B121" s="107"/>
      <c r="C121" s="109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9"/>
      <c r="P121" s="9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ht="20.25" customHeight="1">
      <c r="A122" s="8"/>
      <c r="B122" s="107"/>
      <c r="C122" s="109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9"/>
      <c r="P122" s="9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ht="20.25" customHeight="1">
      <c r="A123" s="8"/>
      <c r="B123" s="107"/>
      <c r="C123" s="109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9"/>
      <c r="P123" s="9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ht="20.25" customHeight="1">
      <c r="A124" s="8"/>
      <c r="B124" s="107"/>
      <c r="C124" s="109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9"/>
      <c r="P124" s="9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ht="20.25" customHeight="1">
      <c r="A125" s="8"/>
      <c r="B125" s="107"/>
      <c r="C125" s="109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9"/>
      <c r="P125" s="9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1:28" ht="20.25" customHeight="1">
      <c r="A126" s="8"/>
      <c r="B126" s="107"/>
      <c r="C126" s="109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9"/>
      <c r="P126" s="9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ht="20.25" customHeight="1">
      <c r="A127" s="8"/>
      <c r="B127" s="107"/>
      <c r="C127" s="109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9"/>
      <c r="P127" s="9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ht="20.25" customHeight="1">
      <c r="A128" s="8"/>
      <c r="B128" s="107"/>
      <c r="C128" s="109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9"/>
      <c r="P128" s="9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ht="20.25" customHeight="1">
      <c r="A129" s="8"/>
      <c r="B129" s="107"/>
      <c r="C129" s="109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9"/>
      <c r="P129" s="9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ht="20.25" customHeight="1">
      <c r="A130" s="8"/>
      <c r="B130" s="107"/>
      <c r="C130" s="109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9"/>
      <c r="P130" s="9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ht="20.25" customHeight="1">
      <c r="A131" s="8"/>
      <c r="B131" s="107"/>
      <c r="C131" s="109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9"/>
      <c r="P131" s="9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ht="20.25" customHeight="1">
      <c r="A132" s="8"/>
      <c r="B132" s="107"/>
      <c r="C132" s="109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9"/>
      <c r="P132" s="9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ht="20.25" customHeight="1">
      <c r="A133" s="8"/>
      <c r="B133" s="107"/>
      <c r="C133" s="109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9"/>
      <c r="P133" s="9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ht="20.25" customHeight="1">
      <c r="A134" s="8"/>
      <c r="B134" s="107"/>
      <c r="C134" s="109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9"/>
      <c r="P134" s="9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ht="20.25" customHeight="1">
      <c r="A135" s="8"/>
      <c r="B135" s="107"/>
      <c r="C135" s="109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9"/>
      <c r="P135" s="9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ht="20.25" customHeight="1">
      <c r="A136" s="8"/>
      <c r="B136" s="107"/>
      <c r="C136" s="109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9"/>
      <c r="P136" s="9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ht="20.25" customHeight="1">
      <c r="A137" s="8"/>
      <c r="B137" s="107"/>
      <c r="C137" s="109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9"/>
      <c r="P137" s="9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ht="20.25" customHeight="1">
      <c r="A138" s="8"/>
      <c r="B138" s="107"/>
      <c r="C138" s="109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9"/>
      <c r="P138" s="9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ht="20.25" customHeight="1">
      <c r="A139" s="8"/>
      <c r="B139" s="107"/>
      <c r="C139" s="109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9"/>
      <c r="P139" s="9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ht="20.25" customHeight="1">
      <c r="A140" s="8"/>
      <c r="B140" s="107"/>
      <c r="C140" s="109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9"/>
      <c r="P140" s="9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ht="20.25" customHeight="1">
      <c r="A141" s="8"/>
      <c r="B141" s="107"/>
      <c r="C141" s="109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9"/>
      <c r="P141" s="9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ht="20.25" customHeight="1">
      <c r="A142" s="8"/>
      <c r="B142" s="107"/>
      <c r="C142" s="109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9"/>
      <c r="P142" s="9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ht="20.25" customHeight="1">
      <c r="A143" s="8"/>
      <c r="B143" s="107"/>
      <c r="C143" s="109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9"/>
      <c r="P143" s="9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ht="20.25" customHeight="1">
      <c r="A144" s="8"/>
      <c r="B144" s="107"/>
      <c r="C144" s="109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9"/>
      <c r="P144" s="9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ht="20.25" customHeight="1">
      <c r="A145" s="8"/>
      <c r="B145" s="107"/>
      <c r="C145" s="109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9"/>
      <c r="P145" s="9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ht="20.25" customHeight="1">
      <c r="A146" s="8"/>
      <c r="B146" s="107"/>
      <c r="C146" s="109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9"/>
      <c r="P146" s="9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ht="20.25" customHeight="1">
      <c r="A147" s="8"/>
      <c r="B147" s="107"/>
      <c r="C147" s="109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9"/>
      <c r="P147" s="9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ht="20.25" customHeight="1">
      <c r="A148" s="8"/>
      <c r="B148" s="107"/>
      <c r="C148" s="109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9"/>
      <c r="P148" s="9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ht="20.25" customHeight="1">
      <c r="A149" s="8"/>
      <c r="B149" s="107"/>
      <c r="C149" s="109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9"/>
      <c r="P149" s="9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ht="20.25" customHeight="1">
      <c r="A150" s="8"/>
      <c r="B150" s="107"/>
      <c r="C150" s="109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9"/>
      <c r="P150" s="9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ht="20.25" customHeight="1">
      <c r="A151" s="8"/>
      <c r="B151" s="107"/>
      <c r="C151" s="109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9"/>
      <c r="P151" s="9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ht="20.25" customHeight="1">
      <c r="A152" s="8"/>
      <c r="B152" s="107"/>
      <c r="C152" s="109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9"/>
      <c r="P152" s="9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ht="20.25" customHeight="1">
      <c r="A153" s="8"/>
      <c r="B153" s="107"/>
      <c r="C153" s="109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9"/>
      <c r="P153" s="9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ht="20.25" customHeight="1">
      <c r="A154" s="8"/>
      <c r="B154" s="107"/>
      <c r="C154" s="109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9"/>
      <c r="P154" s="9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ht="20.25" customHeight="1">
      <c r="A155" s="8"/>
      <c r="B155" s="107"/>
      <c r="C155" s="109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9"/>
      <c r="P155" s="9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ht="20.25" customHeight="1">
      <c r="A156" s="8"/>
      <c r="B156" s="107"/>
      <c r="C156" s="109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9"/>
      <c r="P156" s="9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ht="20.25" customHeight="1">
      <c r="A157" s="8"/>
      <c r="B157" s="107"/>
      <c r="C157" s="109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9"/>
      <c r="P157" s="9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ht="20.25" customHeight="1">
      <c r="A158" s="8"/>
      <c r="B158" s="107"/>
      <c r="C158" s="109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9"/>
      <c r="P158" s="9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ht="20.25" customHeight="1">
      <c r="A159" s="8"/>
      <c r="B159" s="107"/>
      <c r="C159" s="109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9"/>
      <c r="P159" s="9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20.25" customHeight="1">
      <c r="A160" s="8"/>
      <c r="B160" s="107"/>
      <c r="C160" s="109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9"/>
      <c r="P160" s="9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20.25" customHeight="1">
      <c r="A161" s="8"/>
      <c r="B161" s="107"/>
      <c r="C161" s="109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9"/>
      <c r="P161" s="9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20.25" customHeight="1">
      <c r="A162" s="8"/>
      <c r="B162" s="107"/>
      <c r="C162" s="109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9"/>
      <c r="P162" s="9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20.25" customHeight="1">
      <c r="A163" s="8"/>
      <c r="B163" s="107"/>
      <c r="C163" s="109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9"/>
      <c r="P163" s="9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20.25" customHeight="1">
      <c r="A164" s="8"/>
      <c r="B164" s="107"/>
      <c r="C164" s="109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9"/>
      <c r="P164" s="9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ht="20.25" customHeight="1">
      <c r="A165" s="8"/>
      <c r="B165" s="107"/>
      <c r="C165" s="109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9"/>
      <c r="P165" s="9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ht="20.25" customHeight="1">
      <c r="A166" s="8"/>
      <c r="B166" s="107"/>
      <c r="C166" s="109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9"/>
      <c r="P166" s="9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ht="20.25" customHeight="1">
      <c r="A167" s="8"/>
      <c r="B167" s="107"/>
      <c r="C167" s="109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9"/>
      <c r="P167" s="9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ht="20.25" customHeight="1">
      <c r="A168" s="8"/>
      <c r="B168" s="107"/>
      <c r="C168" s="109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9"/>
      <c r="P168" s="9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ht="20.25" customHeight="1">
      <c r="A169" s="8"/>
      <c r="B169" s="107"/>
      <c r="C169" s="109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9"/>
      <c r="P169" s="9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ht="20.25" customHeight="1">
      <c r="A170" s="8"/>
      <c r="B170" s="107"/>
      <c r="C170" s="109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9"/>
      <c r="P170" s="9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ht="20.25" customHeight="1">
      <c r="A171" s="8"/>
      <c r="B171" s="107"/>
      <c r="C171" s="109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9"/>
      <c r="P171" s="9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ht="20.25" customHeight="1">
      <c r="A172" s="8"/>
      <c r="B172" s="107"/>
      <c r="C172" s="109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9"/>
      <c r="P172" s="9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ht="20.25" customHeight="1">
      <c r="A173" s="8"/>
      <c r="B173" s="107"/>
      <c r="C173" s="109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9"/>
      <c r="P173" s="9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ht="20.25" customHeight="1">
      <c r="A174" s="8"/>
      <c r="B174" s="107"/>
      <c r="C174" s="109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9"/>
      <c r="P174" s="9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ht="20.25" customHeight="1">
      <c r="A175" s="8"/>
      <c r="B175" s="107"/>
      <c r="C175" s="109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9"/>
      <c r="P175" s="9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ht="20.25" customHeight="1">
      <c r="A176" s="8"/>
      <c r="B176" s="107"/>
      <c r="C176" s="109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9"/>
      <c r="P176" s="9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ht="20.25" customHeight="1">
      <c r="A177" s="8"/>
      <c r="B177" s="107"/>
      <c r="C177" s="109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9"/>
      <c r="P177" s="9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ht="20.25" customHeight="1">
      <c r="A178" s="8"/>
      <c r="B178" s="107"/>
      <c r="C178" s="109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9"/>
      <c r="P178" s="9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ht="20.25" customHeight="1">
      <c r="A179" s="8"/>
      <c r="B179" s="107"/>
      <c r="C179" s="109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9"/>
      <c r="P179" s="9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ht="20.25" customHeight="1">
      <c r="A180" s="8"/>
      <c r="B180" s="107"/>
      <c r="C180" s="109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9"/>
      <c r="P180" s="9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ht="20.25" customHeight="1">
      <c r="A181" s="8"/>
      <c r="B181" s="107"/>
      <c r="C181" s="109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9"/>
      <c r="P181" s="9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20.25" customHeight="1">
      <c r="A182" s="8"/>
      <c r="B182" s="107"/>
      <c r="C182" s="109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9"/>
      <c r="P182" s="9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ht="20.25" customHeight="1">
      <c r="A183" s="8"/>
      <c r="B183" s="107"/>
      <c r="C183" s="109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9"/>
      <c r="P183" s="9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ht="20.25" customHeight="1">
      <c r="A184" s="8"/>
      <c r="B184" s="107"/>
      <c r="C184" s="109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9"/>
      <c r="P184" s="9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ht="20.25" customHeight="1">
      <c r="A185" s="8"/>
      <c r="B185" s="107"/>
      <c r="C185" s="109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9"/>
      <c r="P185" s="9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ht="20.25" customHeight="1">
      <c r="A186" s="8"/>
      <c r="B186" s="107"/>
      <c r="C186" s="109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9"/>
      <c r="P186" s="9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ht="20.25" customHeight="1">
      <c r="A187" s="8"/>
      <c r="B187" s="107"/>
      <c r="C187" s="109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9"/>
      <c r="P187" s="9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ht="20.25" customHeight="1">
      <c r="A188" s="8"/>
      <c r="B188" s="107"/>
      <c r="C188" s="109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9"/>
      <c r="P188" s="9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ht="20.25" customHeight="1">
      <c r="A189" s="8"/>
      <c r="B189" s="107"/>
      <c r="C189" s="109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9"/>
      <c r="P189" s="9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ht="20.25" customHeight="1">
      <c r="A190" s="8"/>
      <c r="B190" s="107"/>
      <c r="C190" s="109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9"/>
      <c r="P190" s="9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ht="20.25" customHeight="1">
      <c r="A191" s="8"/>
      <c r="B191" s="107"/>
      <c r="C191" s="109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9"/>
      <c r="P191" s="9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ht="20.25" customHeight="1">
      <c r="A192" s="8"/>
      <c r="B192" s="107"/>
      <c r="C192" s="109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9"/>
      <c r="P192" s="9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ht="20.25" customHeight="1">
      <c r="A193" s="8"/>
      <c r="B193" s="107"/>
      <c r="C193" s="109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9"/>
      <c r="P193" s="9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ht="20.25" customHeight="1">
      <c r="A194" s="8"/>
      <c r="B194" s="107"/>
      <c r="C194" s="109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9"/>
      <c r="P194" s="9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ht="20.25" customHeight="1">
      <c r="A195" s="8"/>
      <c r="B195" s="107"/>
      <c r="C195" s="109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9"/>
      <c r="P195" s="9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ht="20.25" customHeight="1">
      <c r="A196" s="8"/>
      <c r="B196" s="107"/>
      <c r="C196" s="109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9"/>
      <c r="P196" s="9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ht="20.25" customHeight="1">
      <c r="A197" s="8"/>
      <c r="B197" s="107"/>
      <c r="C197" s="109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9"/>
      <c r="P197" s="9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ht="20.25" customHeight="1">
      <c r="A198" s="8"/>
      <c r="B198" s="107"/>
      <c r="C198" s="109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9"/>
      <c r="P198" s="9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ht="20.25" customHeight="1">
      <c r="A199" s="8"/>
      <c r="B199" s="107"/>
      <c r="C199" s="109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9"/>
      <c r="P199" s="9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ht="20.25" customHeight="1">
      <c r="A200" s="8"/>
      <c r="B200" s="107"/>
      <c r="C200" s="109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9"/>
      <c r="P200" s="9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ht="20.25" customHeight="1">
      <c r="A201" s="8"/>
      <c r="B201" s="107"/>
      <c r="C201" s="109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9"/>
      <c r="P201" s="9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ht="20.25" customHeight="1">
      <c r="A202" s="8"/>
      <c r="B202" s="107"/>
      <c r="C202" s="109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9"/>
      <c r="P202" s="9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ht="20.25" customHeight="1">
      <c r="A203" s="8"/>
      <c r="B203" s="107"/>
      <c r="C203" s="109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9"/>
      <c r="P203" s="9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ht="20.25" customHeight="1">
      <c r="A204" s="8"/>
      <c r="B204" s="107"/>
      <c r="C204" s="109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9"/>
      <c r="P204" s="9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ht="20.25" customHeight="1">
      <c r="A205" s="8"/>
      <c r="B205" s="107"/>
      <c r="C205" s="109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9"/>
      <c r="P205" s="9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ht="20.25" customHeight="1">
      <c r="A206" s="8"/>
      <c r="B206" s="107"/>
      <c r="C206" s="109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9"/>
      <c r="P206" s="9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1:28" ht="20.25" customHeight="1">
      <c r="A207" s="8"/>
      <c r="B207" s="107"/>
      <c r="C207" s="109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9"/>
      <c r="P207" s="9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ht="20.25" customHeight="1">
      <c r="A208" s="8"/>
      <c r="B208" s="107"/>
      <c r="C208" s="109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9"/>
      <c r="P208" s="9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ht="20.25" customHeight="1">
      <c r="A209" s="8"/>
      <c r="B209" s="107"/>
      <c r="C209" s="109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9"/>
      <c r="P209" s="9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ht="20.25" customHeight="1">
      <c r="A210" s="8"/>
      <c r="B210" s="107"/>
      <c r="C210" s="109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9"/>
      <c r="P210" s="9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ht="20.25" customHeight="1">
      <c r="A211" s="8"/>
      <c r="B211" s="107"/>
      <c r="C211" s="109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9"/>
      <c r="P211" s="9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ht="20.25" customHeight="1">
      <c r="A212" s="8"/>
      <c r="B212" s="107"/>
      <c r="C212" s="109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9"/>
      <c r="P212" s="9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20.25" customHeight="1">
      <c r="A213" s="8"/>
      <c r="B213" s="107"/>
      <c r="C213" s="109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9"/>
      <c r="P213" s="9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20.25" customHeight="1">
      <c r="A214" s="8"/>
      <c r="B214" s="107"/>
      <c r="C214" s="109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9"/>
      <c r="P214" s="9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20.25" customHeight="1">
      <c r="A215" s="8"/>
      <c r="B215" s="107"/>
      <c r="C215" s="109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9"/>
      <c r="P215" s="9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20.25" customHeight="1">
      <c r="A216" s="8"/>
      <c r="B216" s="107"/>
      <c r="C216" s="109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9"/>
      <c r="P216" s="9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20.25" customHeight="1">
      <c r="A217" s="8"/>
      <c r="B217" s="107"/>
      <c r="C217" s="109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9"/>
      <c r="P217" s="9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20.25" customHeight="1">
      <c r="A218" s="8"/>
      <c r="B218" s="107"/>
      <c r="C218" s="109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9"/>
      <c r="P218" s="9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20.25" customHeight="1">
      <c r="A219" s="8"/>
      <c r="B219" s="107"/>
      <c r="C219" s="109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9"/>
      <c r="P219" s="9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20.25" customHeight="1">
      <c r="A220" s="8"/>
      <c r="B220" s="107"/>
      <c r="C220" s="109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9"/>
      <c r="P220" s="9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20.25" customHeight="1">
      <c r="A221" s="8"/>
      <c r="B221" s="107"/>
      <c r="C221" s="109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9"/>
      <c r="P221" s="9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ht="20.25" customHeight="1">
      <c r="A222" s="8"/>
      <c r="B222" s="107"/>
      <c r="C222" s="109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9"/>
      <c r="P222" s="9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ht="20.25" customHeight="1">
      <c r="A223" s="8"/>
      <c r="B223" s="107"/>
      <c r="C223" s="109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9"/>
      <c r="P223" s="9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ht="20.25" customHeight="1">
      <c r="A224" s="8"/>
      <c r="B224" s="107"/>
      <c r="C224" s="109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9"/>
      <c r="P224" s="9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ht="20.25" customHeight="1">
      <c r="A225" s="8"/>
      <c r="B225" s="107"/>
      <c r="C225" s="109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9"/>
      <c r="P225" s="9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ht="20.25" customHeight="1">
      <c r="A226" s="8"/>
      <c r="B226" s="107"/>
      <c r="C226" s="109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9"/>
      <c r="P226" s="9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ht="20.25" customHeight="1">
      <c r="A227" s="8"/>
      <c r="B227" s="107"/>
      <c r="C227" s="109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9"/>
      <c r="P227" s="9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ht="20.25" customHeight="1">
      <c r="A228" s="8"/>
      <c r="B228" s="107"/>
      <c r="C228" s="109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9"/>
      <c r="P228" s="9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ht="20.25" customHeight="1">
      <c r="A229" s="8"/>
      <c r="B229" s="107"/>
      <c r="C229" s="109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9"/>
      <c r="P229" s="9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ht="20.25" customHeight="1">
      <c r="A230" s="8"/>
      <c r="B230" s="107"/>
      <c r="C230" s="109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9"/>
      <c r="P230" s="9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ht="20.25" customHeight="1">
      <c r="A231" s="8"/>
      <c r="B231" s="107"/>
      <c r="C231" s="109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9"/>
      <c r="P231" s="9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ht="20.25" customHeight="1">
      <c r="A232" s="8"/>
      <c r="B232" s="107"/>
      <c r="C232" s="109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9"/>
      <c r="P232" s="9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ht="20.25" customHeight="1">
      <c r="A233" s="8"/>
      <c r="B233" s="107"/>
      <c r="C233" s="109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9"/>
      <c r="P233" s="9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20.25" customHeight="1">
      <c r="A234" s="8"/>
      <c r="B234" s="107"/>
      <c r="C234" s="109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9"/>
      <c r="P234" s="9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20.25" customHeight="1">
      <c r="A235" s="8"/>
      <c r="B235" s="107"/>
      <c r="C235" s="109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9"/>
      <c r="P235" s="9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20.25" customHeight="1">
      <c r="A236" s="8"/>
      <c r="B236" s="107"/>
      <c r="C236" s="109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9"/>
      <c r="P236" s="9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20.25" customHeight="1">
      <c r="A237" s="8"/>
      <c r="B237" s="107"/>
      <c r="C237" s="109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9"/>
      <c r="P237" s="9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20.25" customHeight="1">
      <c r="A238" s="8"/>
      <c r="B238" s="107"/>
      <c r="C238" s="109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9"/>
      <c r="P238" s="9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20.25" customHeight="1">
      <c r="A239" s="8"/>
      <c r="B239" s="107"/>
      <c r="C239" s="109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9"/>
      <c r="P239" s="9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20.25" customHeight="1">
      <c r="A240" s="8"/>
      <c r="B240" s="107"/>
      <c r="C240" s="109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9"/>
      <c r="P240" s="9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20.25" customHeight="1">
      <c r="A241" s="8"/>
      <c r="B241" s="107"/>
      <c r="C241" s="109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9"/>
      <c r="P241" s="9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20.25" customHeight="1">
      <c r="A242" s="8"/>
      <c r="B242" s="107"/>
      <c r="C242" s="109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9"/>
      <c r="P242" s="9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20.25" customHeight="1">
      <c r="A243" s="8"/>
      <c r="B243" s="107"/>
      <c r="C243" s="109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9"/>
      <c r="P243" s="9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20.25" customHeight="1">
      <c r="A244" s="8"/>
      <c r="B244" s="107"/>
      <c r="C244" s="109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9"/>
      <c r="P244" s="9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20.25" customHeight="1">
      <c r="A245" s="8"/>
      <c r="B245" s="107"/>
      <c r="C245" s="109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9"/>
      <c r="P245" s="9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20.25" customHeight="1">
      <c r="A246" s="8"/>
      <c r="B246" s="107"/>
      <c r="C246" s="109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9"/>
      <c r="P246" s="9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20.25" customHeight="1">
      <c r="A247" s="8"/>
      <c r="B247" s="107"/>
      <c r="C247" s="109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9"/>
      <c r="P247" s="9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20.25" customHeight="1">
      <c r="A248" s="8"/>
      <c r="B248" s="107"/>
      <c r="C248" s="109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9"/>
      <c r="P248" s="9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20.25" customHeight="1">
      <c r="A249" s="8"/>
      <c r="B249" s="107"/>
      <c r="C249" s="109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9"/>
      <c r="P249" s="9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20.25" customHeight="1">
      <c r="A250" s="8"/>
      <c r="B250" s="107"/>
      <c r="C250" s="109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9"/>
      <c r="P250" s="9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20.25" customHeight="1">
      <c r="A251" s="8"/>
      <c r="B251" s="107"/>
      <c r="C251" s="109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9"/>
      <c r="P251" s="9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20.25" customHeight="1">
      <c r="A252" s="8"/>
      <c r="B252" s="107"/>
      <c r="C252" s="109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9"/>
      <c r="P252" s="9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20.25" customHeight="1">
      <c r="A253" s="8"/>
      <c r="B253" s="107"/>
      <c r="C253" s="109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9"/>
      <c r="P253" s="9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20.25" customHeight="1">
      <c r="A254" s="8"/>
      <c r="B254" s="107"/>
      <c r="C254" s="109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9"/>
      <c r="P254" s="9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20.25" customHeight="1">
      <c r="A255" s="8"/>
      <c r="B255" s="107"/>
      <c r="C255" s="109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9"/>
      <c r="P255" s="9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20.25" customHeight="1">
      <c r="A256" s="8"/>
      <c r="B256" s="107"/>
      <c r="C256" s="109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9"/>
      <c r="P256" s="9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20.25" customHeight="1">
      <c r="A257" s="8"/>
      <c r="B257" s="107"/>
      <c r="C257" s="109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9"/>
      <c r="P257" s="9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20.25" customHeight="1">
      <c r="A258" s="8"/>
      <c r="B258" s="107"/>
      <c r="C258" s="109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9"/>
      <c r="P258" s="9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20.25" customHeight="1">
      <c r="A259" s="8"/>
      <c r="B259" s="107"/>
      <c r="C259" s="109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9"/>
      <c r="P259" s="9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20.25" customHeight="1">
      <c r="A260" s="8"/>
      <c r="B260" s="107"/>
      <c r="C260" s="109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9"/>
      <c r="P260" s="9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20.25" customHeight="1">
      <c r="A261" s="8"/>
      <c r="B261" s="107"/>
      <c r="C261" s="109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9"/>
      <c r="P261" s="9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20.25" customHeight="1">
      <c r="A262" s="8"/>
      <c r="B262" s="107"/>
      <c r="C262" s="109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9"/>
      <c r="P262" s="9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20.25" customHeight="1">
      <c r="A263" s="8"/>
      <c r="B263" s="107"/>
      <c r="C263" s="109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9"/>
      <c r="P263" s="9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20.25" customHeight="1">
      <c r="A264" s="8"/>
      <c r="B264" s="107"/>
      <c r="C264" s="109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9"/>
      <c r="P264" s="9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20.25" customHeight="1">
      <c r="A265" s="8"/>
      <c r="B265" s="107"/>
      <c r="C265" s="109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9"/>
      <c r="P265" s="9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20.25" customHeight="1">
      <c r="A266" s="8"/>
      <c r="B266" s="107"/>
      <c r="C266" s="109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9"/>
      <c r="P266" s="9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20.25" customHeight="1">
      <c r="A267" s="8"/>
      <c r="B267" s="107"/>
      <c r="C267" s="109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9"/>
      <c r="P267" s="9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20.25" customHeight="1">
      <c r="A268" s="8"/>
      <c r="B268" s="107"/>
      <c r="C268" s="109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9"/>
      <c r="P268" s="9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20.25" customHeight="1">
      <c r="A269" s="8"/>
      <c r="B269" s="107"/>
      <c r="C269" s="109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9"/>
      <c r="P269" s="9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20.25" customHeight="1">
      <c r="A270" s="8"/>
      <c r="B270" s="107"/>
      <c r="C270" s="109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9"/>
      <c r="P270" s="9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20.25" customHeight="1">
      <c r="A271" s="8"/>
      <c r="B271" s="107"/>
      <c r="C271" s="109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9"/>
      <c r="P271" s="9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20.25" customHeight="1">
      <c r="A272" s="8"/>
      <c r="B272" s="107"/>
      <c r="C272" s="109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9"/>
      <c r="P272" s="9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20.25" customHeight="1">
      <c r="A273" s="8"/>
      <c r="B273" s="107"/>
      <c r="C273" s="109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9"/>
      <c r="P273" s="9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20.25" customHeight="1">
      <c r="A274" s="8"/>
      <c r="B274" s="107"/>
      <c r="C274" s="109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9"/>
      <c r="P274" s="9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20.25" customHeight="1">
      <c r="A275" s="8"/>
      <c r="B275" s="107"/>
      <c r="C275" s="109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9"/>
      <c r="P275" s="9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20.25" customHeight="1">
      <c r="A276" s="8"/>
      <c r="B276" s="107"/>
      <c r="C276" s="109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9"/>
      <c r="P276" s="9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20.25" customHeight="1">
      <c r="A277" s="8"/>
      <c r="B277" s="107"/>
      <c r="C277" s="109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9"/>
      <c r="P277" s="9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20.25" customHeight="1">
      <c r="A278" s="8"/>
      <c r="B278" s="107"/>
      <c r="C278" s="109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9"/>
      <c r="P278" s="9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20.25" customHeight="1">
      <c r="A279" s="8"/>
      <c r="B279" s="107"/>
      <c r="C279" s="109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9"/>
      <c r="P279" s="9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20.25" customHeight="1">
      <c r="A280" s="8"/>
      <c r="B280" s="107"/>
      <c r="C280" s="109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9"/>
      <c r="P280" s="9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20.25" customHeight="1">
      <c r="A281" s="8"/>
      <c r="B281" s="107"/>
      <c r="C281" s="109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9"/>
      <c r="P281" s="9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20.25" customHeight="1">
      <c r="A282" s="8"/>
      <c r="B282" s="107"/>
      <c r="C282" s="109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9"/>
      <c r="P282" s="9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20.25" customHeight="1">
      <c r="A283" s="8"/>
      <c r="B283" s="107"/>
      <c r="C283" s="109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9"/>
      <c r="P283" s="9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20.25" customHeight="1">
      <c r="A284" s="8"/>
      <c r="B284" s="107"/>
      <c r="C284" s="109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9"/>
      <c r="P284" s="9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20.25" customHeight="1">
      <c r="A285" s="8"/>
      <c r="B285" s="107"/>
      <c r="C285" s="109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9"/>
      <c r="P285" s="9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20.25" customHeight="1">
      <c r="A286" s="8"/>
      <c r="B286" s="107"/>
      <c r="C286" s="109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9"/>
      <c r="P286" s="9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20.25" customHeight="1">
      <c r="A287" s="8"/>
      <c r="B287" s="107"/>
      <c r="C287" s="109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9"/>
      <c r="P287" s="9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20.25" customHeight="1">
      <c r="A288" s="8"/>
      <c r="B288" s="107"/>
      <c r="C288" s="109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9"/>
      <c r="P288" s="9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20.25" customHeight="1">
      <c r="A289" s="8"/>
      <c r="B289" s="107"/>
      <c r="C289" s="109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9"/>
      <c r="P289" s="9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20.25" customHeight="1">
      <c r="A290" s="8"/>
      <c r="B290" s="107"/>
      <c r="C290" s="109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9"/>
      <c r="P290" s="9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20.25" customHeight="1">
      <c r="A291" s="8"/>
      <c r="B291" s="107"/>
      <c r="C291" s="109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9"/>
      <c r="P291" s="9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20.25" customHeight="1">
      <c r="A292" s="8"/>
      <c r="B292" s="107"/>
      <c r="C292" s="109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9"/>
      <c r="P292" s="9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20.25" customHeight="1">
      <c r="A293" s="8"/>
      <c r="B293" s="107"/>
      <c r="C293" s="109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9"/>
      <c r="P293" s="9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20.25" customHeight="1">
      <c r="A294" s="8"/>
      <c r="B294" s="107"/>
      <c r="C294" s="109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9"/>
      <c r="P294" s="9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20.25" customHeight="1">
      <c r="A295" s="8"/>
      <c r="B295" s="107"/>
      <c r="C295" s="109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9"/>
      <c r="P295" s="9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20.25" customHeight="1">
      <c r="A296" s="8"/>
      <c r="B296" s="107"/>
      <c r="C296" s="109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9"/>
      <c r="P296" s="9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20.25" customHeight="1">
      <c r="A297" s="8"/>
      <c r="B297" s="107"/>
      <c r="C297" s="109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9"/>
      <c r="P297" s="9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20.25" customHeight="1">
      <c r="A298" s="8"/>
      <c r="B298" s="107"/>
      <c r="C298" s="109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9"/>
      <c r="P298" s="9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20.25" customHeight="1">
      <c r="A299" s="8"/>
      <c r="B299" s="107"/>
      <c r="C299" s="109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9"/>
      <c r="P299" s="9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20.25" customHeight="1">
      <c r="A300" s="8"/>
      <c r="B300" s="107"/>
      <c r="C300" s="109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9"/>
      <c r="P300" s="9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20.25" customHeight="1">
      <c r="A301" s="8"/>
      <c r="B301" s="107"/>
      <c r="C301" s="109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9"/>
      <c r="P301" s="9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20.25" customHeight="1">
      <c r="A302" s="8"/>
      <c r="B302" s="107"/>
      <c r="C302" s="109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9"/>
      <c r="P302" s="9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20.25" customHeight="1">
      <c r="A303" s="8"/>
      <c r="B303" s="107"/>
      <c r="C303" s="109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9"/>
      <c r="P303" s="9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20.25" customHeight="1">
      <c r="A304" s="8"/>
      <c r="B304" s="107"/>
      <c r="C304" s="109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9"/>
      <c r="P304" s="9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20.25" customHeight="1">
      <c r="A305" s="8"/>
      <c r="B305" s="107"/>
      <c r="C305" s="109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9"/>
      <c r="P305" s="9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20.25" customHeight="1">
      <c r="A306" s="8"/>
      <c r="B306" s="107"/>
      <c r="C306" s="109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9"/>
      <c r="P306" s="9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20.25" customHeight="1">
      <c r="A307" s="8"/>
      <c r="B307" s="107"/>
      <c r="C307" s="109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9"/>
      <c r="P307" s="9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20.25" customHeight="1">
      <c r="A308" s="8"/>
      <c r="B308" s="107"/>
      <c r="C308" s="109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9"/>
      <c r="P308" s="9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20.25" customHeight="1">
      <c r="A309" s="8"/>
      <c r="B309" s="107"/>
      <c r="C309" s="109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9"/>
      <c r="P309" s="9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20.25" customHeight="1">
      <c r="A310" s="8"/>
      <c r="B310" s="107"/>
      <c r="C310" s="109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9"/>
      <c r="P310" s="9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20.25" customHeight="1">
      <c r="A311" s="8"/>
      <c r="B311" s="107"/>
      <c r="C311" s="109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9"/>
      <c r="P311" s="9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20.25" customHeight="1">
      <c r="A312" s="8"/>
      <c r="B312" s="107"/>
      <c r="C312" s="109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9"/>
      <c r="P312" s="9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20.25" customHeight="1">
      <c r="A313" s="8"/>
      <c r="B313" s="107"/>
      <c r="C313" s="109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9"/>
      <c r="P313" s="9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20.25" customHeight="1">
      <c r="A314" s="8"/>
      <c r="B314" s="107"/>
      <c r="C314" s="109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9"/>
      <c r="P314" s="9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20.25" customHeight="1">
      <c r="A315" s="8"/>
      <c r="B315" s="107"/>
      <c r="C315" s="109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9"/>
      <c r="P315" s="9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20.25" customHeight="1">
      <c r="A316" s="8"/>
      <c r="B316" s="107"/>
      <c r="C316" s="109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9"/>
      <c r="P316" s="9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20.25" customHeight="1">
      <c r="A317" s="8"/>
      <c r="B317" s="107"/>
      <c r="C317" s="109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9"/>
      <c r="P317" s="9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20.25" customHeight="1">
      <c r="A318" s="8"/>
      <c r="B318" s="107"/>
      <c r="C318" s="109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9"/>
      <c r="P318" s="9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20.25" customHeight="1">
      <c r="A319" s="8"/>
      <c r="B319" s="107"/>
      <c r="C319" s="109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9"/>
      <c r="P319" s="9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20.25" customHeight="1">
      <c r="A320" s="8"/>
      <c r="B320" s="107"/>
      <c r="C320" s="109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9"/>
      <c r="P320" s="9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20.25" customHeight="1">
      <c r="A321" s="8"/>
      <c r="B321" s="107"/>
      <c r="C321" s="109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9"/>
      <c r="P321" s="9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20.25" customHeight="1">
      <c r="A322" s="8"/>
      <c r="B322" s="107"/>
      <c r="C322" s="109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9"/>
      <c r="P322" s="9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20.25" customHeight="1">
      <c r="A323" s="8"/>
      <c r="B323" s="107"/>
      <c r="C323" s="109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9"/>
      <c r="P323" s="9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20.25" customHeight="1">
      <c r="A324" s="8"/>
      <c r="B324" s="107"/>
      <c r="C324" s="109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9"/>
      <c r="P324" s="9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20.25" customHeight="1">
      <c r="A325" s="8"/>
      <c r="B325" s="107"/>
      <c r="C325" s="109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9"/>
      <c r="P325" s="9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20.25" customHeight="1">
      <c r="A326" s="8"/>
      <c r="B326" s="107"/>
      <c r="C326" s="109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9"/>
      <c r="P326" s="9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20.25" customHeight="1">
      <c r="A327" s="8"/>
      <c r="B327" s="107"/>
      <c r="C327" s="109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9"/>
      <c r="P327" s="9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20.25" customHeight="1">
      <c r="A328" s="8"/>
      <c r="B328" s="107"/>
      <c r="C328" s="109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9"/>
      <c r="P328" s="9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20.25" customHeight="1">
      <c r="A329" s="8"/>
      <c r="B329" s="107"/>
      <c r="C329" s="109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9"/>
      <c r="P329" s="9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20.25" customHeight="1">
      <c r="A330" s="8"/>
      <c r="B330" s="107"/>
      <c r="C330" s="109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9"/>
      <c r="P330" s="9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20.25" customHeight="1">
      <c r="A331" s="8"/>
      <c r="B331" s="107"/>
      <c r="C331" s="109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9"/>
      <c r="P331" s="9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20.25" customHeight="1">
      <c r="A332" s="8"/>
      <c r="B332" s="107"/>
      <c r="C332" s="109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9"/>
      <c r="P332" s="9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20.25" customHeight="1">
      <c r="A333" s="8"/>
      <c r="B333" s="107"/>
      <c r="C333" s="109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9"/>
      <c r="P333" s="9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20.25" customHeight="1">
      <c r="A334" s="8"/>
      <c r="B334" s="107"/>
      <c r="C334" s="109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9"/>
      <c r="P334" s="9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20.25" customHeight="1">
      <c r="A335" s="8"/>
      <c r="B335" s="107"/>
      <c r="C335" s="109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9"/>
      <c r="P335" s="9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20.25" customHeight="1">
      <c r="A336" s="8"/>
      <c r="B336" s="107"/>
      <c r="C336" s="109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9"/>
      <c r="P336" s="9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20.25" customHeight="1">
      <c r="A337" s="8"/>
      <c r="B337" s="107"/>
      <c r="C337" s="109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9"/>
      <c r="P337" s="9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20.25" customHeight="1">
      <c r="A338" s="8"/>
      <c r="B338" s="107"/>
      <c r="C338" s="109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9"/>
      <c r="P338" s="9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20.25" customHeight="1">
      <c r="A339" s="8"/>
      <c r="B339" s="107"/>
      <c r="C339" s="109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9"/>
      <c r="P339" s="9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20.25" customHeight="1">
      <c r="A340" s="8"/>
      <c r="B340" s="107"/>
      <c r="C340" s="109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9"/>
      <c r="P340" s="9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20.25" customHeight="1">
      <c r="A341" s="8"/>
      <c r="B341" s="107"/>
      <c r="C341" s="109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9"/>
      <c r="P341" s="9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20.25" customHeight="1">
      <c r="A342" s="8"/>
      <c r="B342" s="107"/>
      <c r="C342" s="109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9"/>
      <c r="P342" s="9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20.25" customHeight="1">
      <c r="A343" s="8"/>
      <c r="B343" s="107"/>
      <c r="C343" s="109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9"/>
      <c r="P343" s="9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20.25" customHeight="1">
      <c r="A344" s="8"/>
      <c r="B344" s="107"/>
      <c r="C344" s="109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9"/>
      <c r="P344" s="9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20.25" customHeight="1">
      <c r="A345" s="8"/>
      <c r="B345" s="107"/>
      <c r="C345" s="109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9"/>
      <c r="P345" s="9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20.25" customHeight="1">
      <c r="A346" s="8"/>
      <c r="B346" s="107"/>
      <c r="C346" s="109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9"/>
      <c r="P346" s="9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20.25" customHeight="1">
      <c r="A347" s="8"/>
      <c r="B347" s="107"/>
      <c r="C347" s="109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9"/>
      <c r="P347" s="9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20.25" customHeight="1">
      <c r="A348" s="8"/>
      <c r="B348" s="107"/>
      <c r="C348" s="109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9"/>
      <c r="P348" s="9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20.25" customHeight="1">
      <c r="A349" s="8"/>
      <c r="B349" s="107"/>
      <c r="C349" s="109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9"/>
      <c r="P349" s="9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20.25" customHeight="1">
      <c r="A350" s="8"/>
      <c r="B350" s="107"/>
      <c r="C350" s="109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9"/>
      <c r="P350" s="9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20.25" customHeight="1">
      <c r="A351" s="8"/>
      <c r="B351" s="107"/>
      <c r="C351" s="109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9"/>
      <c r="P351" s="9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20.25" customHeight="1">
      <c r="A352" s="8"/>
      <c r="B352" s="107"/>
      <c r="C352" s="109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9"/>
      <c r="P352" s="9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20.25" customHeight="1">
      <c r="A353" s="8"/>
      <c r="B353" s="107"/>
      <c r="C353" s="109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9"/>
      <c r="P353" s="9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20.25" customHeight="1">
      <c r="A354" s="8"/>
      <c r="B354" s="107"/>
      <c r="C354" s="109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9"/>
      <c r="P354" s="9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20.25" customHeight="1">
      <c r="A355" s="8"/>
      <c r="B355" s="107"/>
      <c r="C355" s="109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9"/>
      <c r="P355" s="9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20.25" customHeight="1">
      <c r="A356" s="8"/>
      <c r="B356" s="107"/>
      <c r="C356" s="109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9"/>
      <c r="P356" s="9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20.25" customHeight="1">
      <c r="A357" s="8"/>
      <c r="B357" s="107"/>
      <c r="C357" s="109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9"/>
      <c r="P357" s="9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20.25" customHeight="1">
      <c r="A358" s="8"/>
      <c r="B358" s="107"/>
      <c r="C358" s="109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9"/>
      <c r="P358" s="9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20.25" customHeight="1">
      <c r="A359" s="8"/>
      <c r="B359" s="107"/>
      <c r="C359" s="109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9"/>
      <c r="P359" s="9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20.25" customHeight="1">
      <c r="A360" s="8"/>
      <c r="B360" s="107"/>
      <c r="C360" s="109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9"/>
      <c r="P360" s="9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20.25" customHeight="1">
      <c r="A361" s="8"/>
      <c r="B361" s="107"/>
      <c r="C361" s="109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9"/>
      <c r="P361" s="9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20.25" customHeight="1">
      <c r="A362" s="8"/>
      <c r="B362" s="107"/>
      <c r="C362" s="109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9"/>
      <c r="P362" s="9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20.25" customHeight="1">
      <c r="A363" s="8"/>
      <c r="B363" s="107"/>
      <c r="C363" s="109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9"/>
      <c r="P363" s="9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20.25" customHeight="1">
      <c r="A364" s="8"/>
      <c r="B364" s="107"/>
      <c r="C364" s="109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9"/>
      <c r="P364" s="9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20.25" customHeight="1">
      <c r="A365" s="8"/>
      <c r="B365" s="107"/>
      <c r="C365" s="109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9"/>
      <c r="P365" s="9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20.25" customHeight="1">
      <c r="A366" s="8"/>
      <c r="B366" s="107"/>
      <c r="C366" s="109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9"/>
      <c r="P366" s="9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20.25" customHeight="1">
      <c r="A367" s="8"/>
      <c r="B367" s="107"/>
      <c r="C367" s="109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9"/>
      <c r="P367" s="9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20.25" customHeight="1">
      <c r="A368" s="8"/>
      <c r="B368" s="107"/>
      <c r="C368" s="109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9"/>
      <c r="P368" s="9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20.25" customHeight="1">
      <c r="A369" s="8"/>
      <c r="B369" s="107"/>
      <c r="C369" s="109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9"/>
      <c r="P369" s="9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20.25" customHeight="1">
      <c r="A370" s="8"/>
      <c r="B370" s="107"/>
      <c r="C370" s="109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9"/>
      <c r="P370" s="9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20.25" customHeight="1">
      <c r="A371" s="8"/>
      <c r="B371" s="107"/>
      <c r="C371" s="109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9"/>
      <c r="P371" s="9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20.25" customHeight="1">
      <c r="A372" s="8"/>
      <c r="B372" s="107"/>
      <c r="C372" s="109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9"/>
      <c r="P372" s="9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20.25" customHeight="1">
      <c r="A373" s="8"/>
      <c r="B373" s="107"/>
      <c r="C373" s="109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9"/>
      <c r="P373" s="9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20.25" customHeight="1">
      <c r="A374" s="8"/>
      <c r="B374" s="107"/>
      <c r="C374" s="109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9"/>
      <c r="P374" s="9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20.25" customHeight="1">
      <c r="A375" s="8"/>
      <c r="B375" s="107"/>
      <c r="C375" s="109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9"/>
      <c r="P375" s="9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20.25" customHeight="1">
      <c r="A376" s="8"/>
      <c r="B376" s="107"/>
      <c r="C376" s="109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9"/>
      <c r="P376" s="9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20.25" customHeight="1">
      <c r="A377" s="8"/>
      <c r="B377" s="107"/>
      <c r="C377" s="109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9"/>
      <c r="P377" s="9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20.25" customHeight="1">
      <c r="A378" s="8"/>
      <c r="B378" s="107"/>
      <c r="C378" s="109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9"/>
      <c r="P378" s="9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20.25" customHeight="1">
      <c r="A379" s="8"/>
      <c r="B379" s="107"/>
      <c r="C379" s="109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9"/>
      <c r="P379" s="9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20.25" customHeight="1">
      <c r="A380" s="8"/>
      <c r="B380" s="107"/>
      <c r="C380" s="109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9"/>
      <c r="P380" s="9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20.25" customHeight="1">
      <c r="A381" s="8"/>
      <c r="B381" s="107"/>
      <c r="C381" s="109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9"/>
      <c r="P381" s="9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20.25" customHeight="1">
      <c r="A382" s="8"/>
      <c r="B382" s="107"/>
      <c r="C382" s="109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9"/>
      <c r="P382" s="9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20.25" customHeight="1">
      <c r="A383" s="8"/>
      <c r="B383" s="107"/>
      <c r="C383" s="109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9"/>
      <c r="P383" s="9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20.25" customHeight="1">
      <c r="A384" s="8"/>
      <c r="B384" s="107"/>
      <c r="C384" s="109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9"/>
      <c r="P384" s="9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20.25" customHeight="1">
      <c r="A385" s="8"/>
      <c r="B385" s="107"/>
      <c r="C385" s="109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9"/>
      <c r="P385" s="9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20.25" customHeight="1">
      <c r="A386" s="8"/>
      <c r="B386" s="107"/>
      <c r="C386" s="109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9"/>
      <c r="P386" s="9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20.25" customHeight="1">
      <c r="A387" s="8"/>
      <c r="B387" s="107"/>
      <c r="C387" s="109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9"/>
      <c r="P387" s="9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20.25" customHeight="1">
      <c r="A388" s="8"/>
      <c r="B388" s="107"/>
      <c r="C388" s="109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9"/>
      <c r="P388" s="9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20.25" customHeight="1">
      <c r="A389" s="8"/>
      <c r="B389" s="107"/>
      <c r="C389" s="109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9"/>
      <c r="P389" s="9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20.25" customHeight="1">
      <c r="A390" s="8"/>
      <c r="B390" s="107"/>
      <c r="C390" s="109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9"/>
      <c r="P390" s="9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20.25" customHeight="1">
      <c r="A391" s="8"/>
      <c r="B391" s="107"/>
      <c r="C391" s="109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9"/>
      <c r="P391" s="9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20.25" customHeight="1">
      <c r="A392" s="8"/>
      <c r="B392" s="107"/>
      <c r="C392" s="109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9"/>
      <c r="P392" s="9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20.25" customHeight="1">
      <c r="A393" s="8"/>
      <c r="B393" s="107"/>
      <c r="C393" s="109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9"/>
      <c r="P393" s="9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20.25" customHeight="1">
      <c r="A394" s="8"/>
      <c r="B394" s="107"/>
      <c r="C394" s="109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9"/>
      <c r="P394" s="9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20.25" customHeight="1">
      <c r="A395" s="8"/>
      <c r="B395" s="107"/>
      <c r="C395" s="109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9"/>
      <c r="P395" s="9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20.25" customHeight="1">
      <c r="A396" s="8"/>
      <c r="B396" s="107"/>
      <c r="C396" s="109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9"/>
      <c r="P396" s="9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20.25" customHeight="1">
      <c r="A397" s="8"/>
      <c r="B397" s="107"/>
      <c r="C397" s="109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9"/>
      <c r="P397" s="9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20.25" customHeight="1">
      <c r="A398" s="8"/>
      <c r="B398" s="107"/>
      <c r="C398" s="109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9"/>
      <c r="P398" s="9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20.25" customHeight="1">
      <c r="A399" s="8"/>
      <c r="B399" s="107"/>
      <c r="C399" s="109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9"/>
      <c r="P399" s="9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20.25" customHeight="1">
      <c r="A400" s="8"/>
      <c r="B400" s="107"/>
      <c r="C400" s="109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9"/>
      <c r="P400" s="9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20.25" customHeight="1">
      <c r="A401" s="8"/>
      <c r="B401" s="107"/>
      <c r="C401" s="109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9"/>
      <c r="P401" s="9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20.25" customHeight="1">
      <c r="A402" s="8"/>
      <c r="B402" s="107"/>
      <c r="C402" s="109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9"/>
      <c r="P402" s="9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20.25" customHeight="1">
      <c r="A403" s="8"/>
      <c r="B403" s="107"/>
      <c r="C403" s="109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9"/>
      <c r="P403" s="9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20.25" customHeight="1">
      <c r="A404" s="8"/>
      <c r="B404" s="107"/>
      <c r="C404" s="109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9"/>
      <c r="P404" s="9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20.25" customHeight="1">
      <c r="A405" s="8"/>
      <c r="B405" s="107"/>
      <c r="C405" s="109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9"/>
      <c r="P405" s="9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20.25" customHeight="1">
      <c r="A406" s="8"/>
      <c r="B406" s="107"/>
      <c r="C406" s="109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9"/>
      <c r="P406" s="9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20.25" customHeight="1">
      <c r="A407" s="8"/>
      <c r="B407" s="107"/>
      <c r="C407" s="109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9"/>
      <c r="P407" s="9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20.25" customHeight="1">
      <c r="A408" s="8"/>
      <c r="B408" s="107"/>
      <c r="C408" s="109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9"/>
      <c r="P408" s="9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20.25" customHeight="1">
      <c r="A409" s="8"/>
      <c r="B409" s="107"/>
      <c r="C409" s="109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9"/>
      <c r="P409" s="9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20.25" customHeight="1">
      <c r="A410" s="8"/>
      <c r="B410" s="107"/>
      <c r="C410" s="109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9"/>
      <c r="P410" s="9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20.25" customHeight="1">
      <c r="A411" s="8"/>
      <c r="B411" s="107"/>
      <c r="C411" s="109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9"/>
      <c r="P411" s="9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20.25" customHeight="1">
      <c r="A412" s="8"/>
      <c r="B412" s="107"/>
      <c r="C412" s="109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9"/>
      <c r="P412" s="9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20.25" customHeight="1">
      <c r="A413" s="8"/>
      <c r="B413" s="107"/>
      <c r="C413" s="109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9"/>
      <c r="P413" s="9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20.25" customHeight="1">
      <c r="A414" s="8"/>
      <c r="B414" s="107"/>
      <c r="C414" s="109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9"/>
      <c r="P414" s="9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20.25" customHeight="1">
      <c r="A415" s="8"/>
      <c r="B415" s="107"/>
      <c r="C415" s="109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9"/>
      <c r="P415" s="9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20.25" customHeight="1">
      <c r="A416" s="8"/>
      <c r="B416" s="107"/>
      <c r="C416" s="109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9"/>
      <c r="P416" s="9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20.25" customHeight="1">
      <c r="A417" s="8"/>
      <c r="B417" s="107"/>
      <c r="C417" s="109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9"/>
      <c r="P417" s="9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20.25" customHeight="1">
      <c r="A418" s="8"/>
      <c r="B418" s="107"/>
      <c r="C418" s="109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9"/>
      <c r="P418" s="9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20.25" customHeight="1">
      <c r="A419" s="8"/>
      <c r="B419" s="107"/>
      <c r="C419" s="109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9"/>
      <c r="P419" s="9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20.25" customHeight="1">
      <c r="A420" s="8"/>
      <c r="B420" s="107"/>
      <c r="C420" s="109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9"/>
      <c r="P420" s="9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20.25" customHeight="1">
      <c r="A421" s="8"/>
      <c r="B421" s="107"/>
      <c r="C421" s="109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9"/>
      <c r="P421" s="9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20.25" customHeight="1">
      <c r="A422" s="8"/>
      <c r="B422" s="107"/>
      <c r="C422" s="109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9"/>
      <c r="P422" s="9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20.25" customHeight="1">
      <c r="A423" s="8"/>
      <c r="B423" s="107"/>
      <c r="C423" s="109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9"/>
      <c r="P423" s="9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20.25" customHeight="1">
      <c r="A424" s="8"/>
      <c r="B424" s="107"/>
      <c r="C424" s="109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9"/>
      <c r="P424" s="9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20.25" customHeight="1">
      <c r="A425" s="8"/>
      <c r="B425" s="107"/>
      <c r="C425" s="109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9"/>
      <c r="P425" s="9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20.25" customHeight="1">
      <c r="A426" s="8"/>
      <c r="B426" s="107"/>
      <c r="C426" s="109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9"/>
      <c r="P426" s="9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20.25" customHeight="1">
      <c r="A427" s="8"/>
      <c r="B427" s="107"/>
      <c r="C427" s="109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9"/>
      <c r="P427" s="9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20.25" customHeight="1">
      <c r="A428" s="8"/>
      <c r="B428" s="107"/>
      <c r="C428" s="109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9"/>
      <c r="P428" s="9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20.25" customHeight="1">
      <c r="A429" s="8"/>
      <c r="B429" s="107"/>
      <c r="C429" s="109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9"/>
      <c r="P429" s="9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20.25" customHeight="1">
      <c r="A430" s="8"/>
      <c r="B430" s="107"/>
      <c r="C430" s="109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9"/>
      <c r="P430" s="9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20.25" customHeight="1">
      <c r="A431" s="8"/>
      <c r="B431" s="107"/>
      <c r="C431" s="109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9"/>
      <c r="P431" s="9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20.25" customHeight="1">
      <c r="A432" s="8"/>
      <c r="B432" s="107"/>
      <c r="C432" s="109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9"/>
      <c r="P432" s="9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20.25" customHeight="1">
      <c r="A433" s="8"/>
      <c r="B433" s="107"/>
      <c r="C433" s="109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9"/>
      <c r="P433" s="9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20.25" customHeight="1">
      <c r="A434" s="8"/>
      <c r="B434" s="107"/>
      <c r="C434" s="109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9"/>
      <c r="P434" s="9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20.25" customHeight="1">
      <c r="A435" s="8"/>
      <c r="B435" s="107"/>
      <c r="C435" s="109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9"/>
      <c r="P435" s="9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20.25" customHeight="1">
      <c r="A436" s="8"/>
      <c r="B436" s="107"/>
      <c r="C436" s="109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9"/>
      <c r="P436" s="9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20.25" customHeight="1">
      <c r="A437" s="8"/>
      <c r="B437" s="107"/>
      <c r="C437" s="109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9"/>
      <c r="P437" s="9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20.25" customHeight="1">
      <c r="A438" s="8"/>
      <c r="B438" s="107"/>
      <c r="C438" s="109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9"/>
      <c r="P438" s="9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20.25" customHeight="1">
      <c r="A439" s="8"/>
      <c r="B439" s="107"/>
      <c r="C439" s="109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9"/>
      <c r="P439" s="9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20.25" customHeight="1">
      <c r="A440" s="8"/>
      <c r="B440" s="107"/>
      <c r="C440" s="109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9"/>
      <c r="P440" s="9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20.25" customHeight="1">
      <c r="A441" s="8"/>
      <c r="B441" s="107"/>
      <c r="C441" s="109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9"/>
      <c r="P441" s="9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20.25" customHeight="1">
      <c r="A442" s="8"/>
      <c r="B442" s="107"/>
      <c r="C442" s="109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9"/>
      <c r="P442" s="9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20.25" customHeight="1">
      <c r="A443" s="8"/>
      <c r="B443" s="107"/>
      <c r="C443" s="109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9"/>
      <c r="P443" s="9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20.25" customHeight="1">
      <c r="A444" s="8"/>
      <c r="B444" s="107"/>
      <c r="C444" s="109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9"/>
      <c r="P444" s="9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20.25" customHeight="1">
      <c r="A445" s="8"/>
      <c r="B445" s="107"/>
      <c r="C445" s="109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9"/>
      <c r="P445" s="9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20.25" customHeight="1">
      <c r="A446" s="8"/>
      <c r="B446" s="107"/>
      <c r="C446" s="109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9"/>
      <c r="P446" s="9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20.25" customHeight="1">
      <c r="A447" s="8"/>
      <c r="B447" s="107"/>
      <c r="C447" s="109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9"/>
      <c r="P447" s="9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20.25" customHeight="1">
      <c r="A448" s="8"/>
      <c r="B448" s="107"/>
      <c r="C448" s="109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9"/>
      <c r="P448" s="9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20.25" customHeight="1">
      <c r="A449" s="8"/>
      <c r="B449" s="107"/>
      <c r="C449" s="109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9"/>
      <c r="P449" s="9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20.25" customHeight="1">
      <c r="A450" s="8"/>
      <c r="B450" s="107"/>
      <c r="C450" s="109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9"/>
      <c r="P450" s="9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20.25" customHeight="1">
      <c r="A451" s="8"/>
      <c r="B451" s="107"/>
      <c r="C451" s="109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9"/>
      <c r="P451" s="9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20.25" customHeight="1">
      <c r="A452" s="8"/>
      <c r="B452" s="107"/>
      <c r="C452" s="109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9"/>
      <c r="P452" s="9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20.25" customHeight="1">
      <c r="A453" s="8"/>
      <c r="B453" s="107"/>
      <c r="C453" s="109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9"/>
      <c r="P453" s="9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20.25" customHeight="1">
      <c r="A454" s="8"/>
      <c r="B454" s="107"/>
      <c r="C454" s="109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9"/>
      <c r="P454" s="9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20.25" customHeight="1">
      <c r="A455" s="8"/>
      <c r="B455" s="107"/>
      <c r="C455" s="109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9"/>
      <c r="P455" s="9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20.25" customHeight="1">
      <c r="A456" s="8"/>
      <c r="B456" s="107"/>
      <c r="C456" s="109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9"/>
      <c r="P456" s="9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20.25" customHeight="1">
      <c r="A457" s="8"/>
      <c r="B457" s="107"/>
      <c r="C457" s="109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9"/>
      <c r="P457" s="9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20.25" customHeight="1">
      <c r="A458" s="8"/>
      <c r="B458" s="107"/>
      <c r="C458" s="109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9"/>
      <c r="P458" s="9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20.25" customHeight="1">
      <c r="A459" s="8"/>
      <c r="B459" s="107"/>
      <c r="C459" s="109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9"/>
      <c r="P459" s="9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20.25" customHeight="1">
      <c r="A460" s="8"/>
      <c r="B460" s="107"/>
      <c r="C460" s="109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9"/>
      <c r="P460" s="9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20.25" customHeight="1">
      <c r="A461" s="8"/>
      <c r="B461" s="107"/>
      <c r="C461" s="109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9"/>
      <c r="P461" s="9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20.25" customHeight="1">
      <c r="A462" s="8"/>
      <c r="B462" s="107"/>
      <c r="C462" s="109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9"/>
      <c r="P462" s="9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20.25" customHeight="1">
      <c r="A463" s="8"/>
      <c r="B463" s="107"/>
      <c r="C463" s="109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9"/>
      <c r="P463" s="9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20.25" customHeight="1">
      <c r="A464" s="8"/>
      <c r="B464" s="107"/>
      <c r="C464" s="109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9"/>
      <c r="P464" s="9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20.25" customHeight="1">
      <c r="A465" s="8"/>
      <c r="B465" s="107"/>
      <c r="C465" s="109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9"/>
      <c r="P465" s="9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20.25" customHeight="1">
      <c r="A466" s="8"/>
      <c r="B466" s="107"/>
      <c r="C466" s="109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9"/>
      <c r="P466" s="9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20.25" customHeight="1">
      <c r="A467" s="8"/>
      <c r="B467" s="107"/>
      <c r="C467" s="109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9"/>
      <c r="P467" s="9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20.25" customHeight="1">
      <c r="A468" s="8"/>
      <c r="B468" s="107"/>
      <c r="C468" s="109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9"/>
      <c r="P468" s="9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20.25" customHeight="1">
      <c r="A469" s="8"/>
      <c r="B469" s="107"/>
      <c r="C469" s="109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9"/>
      <c r="P469" s="9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20.25" customHeight="1">
      <c r="A470" s="8"/>
      <c r="B470" s="107"/>
      <c r="C470" s="109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9"/>
      <c r="P470" s="9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20.25" customHeight="1">
      <c r="A471" s="8"/>
      <c r="B471" s="107"/>
      <c r="C471" s="109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9"/>
      <c r="P471" s="9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20.25" customHeight="1">
      <c r="A472" s="8"/>
      <c r="B472" s="107"/>
      <c r="C472" s="109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9"/>
      <c r="P472" s="9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20.25" customHeight="1">
      <c r="A473" s="8"/>
      <c r="B473" s="107"/>
      <c r="C473" s="109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9"/>
      <c r="P473" s="9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20.25" customHeight="1">
      <c r="A474" s="8"/>
      <c r="B474" s="107"/>
      <c r="C474" s="109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9"/>
      <c r="P474" s="9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20.25" customHeight="1">
      <c r="A475" s="8"/>
      <c r="B475" s="107"/>
      <c r="C475" s="109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9"/>
      <c r="P475" s="9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20.25" customHeight="1">
      <c r="A476" s="8"/>
      <c r="B476" s="107"/>
      <c r="C476" s="109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9"/>
      <c r="P476" s="9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20.25" customHeight="1">
      <c r="A477" s="8"/>
      <c r="B477" s="107"/>
      <c r="C477" s="109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9"/>
      <c r="P477" s="9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20.25" customHeight="1">
      <c r="A478" s="8"/>
      <c r="B478" s="107"/>
      <c r="C478" s="109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9"/>
      <c r="P478" s="9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20.25" customHeight="1">
      <c r="A479" s="8"/>
      <c r="B479" s="107"/>
      <c r="C479" s="109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9"/>
      <c r="P479" s="9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20.25" customHeight="1">
      <c r="A480" s="8"/>
      <c r="B480" s="107"/>
      <c r="C480" s="109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9"/>
      <c r="P480" s="9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20.25" customHeight="1">
      <c r="A481" s="8"/>
      <c r="B481" s="107"/>
      <c r="C481" s="109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9"/>
      <c r="P481" s="9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20.25" customHeight="1">
      <c r="A482" s="8"/>
      <c r="B482" s="107"/>
      <c r="C482" s="109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9"/>
      <c r="P482" s="9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20.25" customHeight="1">
      <c r="A483" s="8"/>
      <c r="B483" s="107"/>
      <c r="C483" s="109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9"/>
      <c r="P483" s="9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20.25" customHeight="1">
      <c r="A484" s="8"/>
      <c r="B484" s="107"/>
      <c r="C484" s="109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9"/>
      <c r="P484" s="9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20.25" customHeight="1">
      <c r="A485" s="8"/>
      <c r="B485" s="107"/>
      <c r="C485" s="109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9"/>
      <c r="P485" s="9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20.25" customHeight="1">
      <c r="A486" s="8"/>
      <c r="B486" s="107"/>
      <c r="C486" s="109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9"/>
      <c r="P486" s="9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20.25" customHeight="1">
      <c r="A487" s="8"/>
      <c r="B487" s="107"/>
      <c r="C487" s="109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9"/>
      <c r="P487" s="9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20.25" customHeight="1">
      <c r="A488" s="8"/>
      <c r="B488" s="107"/>
      <c r="C488" s="109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9"/>
      <c r="P488" s="9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20.25" customHeight="1">
      <c r="A489" s="8"/>
      <c r="B489" s="107"/>
      <c r="C489" s="109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9"/>
      <c r="P489" s="9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20.25" customHeight="1">
      <c r="A490" s="8"/>
      <c r="B490" s="107"/>
      <c r="C490" s="109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9"/>
      <c r="P490" s="9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20.25" customHeight="1">
      <c r="A491" s="8"/>
      <c r="B491" s="107"/>
      <c r="C491" s="109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9"/>
      <c r="P491" s="9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20.25" customHeight="1">
      <c r="A492" s="8"/>
      <c r="B492" s="107"/>
      <c r="C492" s="109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9"/>
      <c r="P492" s="9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20.25" customHeight="1">
      <c r="A493" s="8"/>
      <c r="B493" s="107"/>
      <c r="C493" s="109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9"/>
      <c r="P493" s="9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20.25" customHeight="1">
      <c r="A494" s="8"/>
      <c r="B494" s="107"/>
      <c r="C494" s="109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9"/>
      <c r="P494" s="9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20.25" customHeight="1">
      <c r="A495" s="8"/>
      <c r="B495" s="107"/>
      <c r="C495" s="109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9"/>
      <c r="P495" s="9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20.25" customHeight="1">
      <c r="A496" s="8"/>
      <c r="B496" s="107"/>
      <c r="C496" s="109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9"/>
      <c r="P496" s="9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20.25" customHeight="1">
      <c r="A497" s="8"/>
      <c r="B497" s="107"/>
      <c r="C497" s="109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9"/>
      <c r="P497" s="9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20.25" customHeight="1">
      <c r="A498" s="8"/>
      <c r="B498" s="107"/>
      <c r="C498" s="109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9"/>
      <c r="P498" s="9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20.25" customHeight="1">
      <c r="A499" s="8"/>
      <c r="B499" s="107"/>
      <c r="C499" s="109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9"/>
      <c r="P499" s="9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20.25" customHeight="1">
      <c r="A500" s="8"/>
      <c r="B500" s="107"/>
      <c r="C500" s="109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9"/>
      <c r="P500" s="9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20.25" customHeight="1">
      <c r="A501" s="8"/>
      <c r="B501" s="107"/>
      <c r="C501" s="109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9"/>
      <c r="P501" s="9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20.25" customHeight="1">
      <c r="A502" s="8"/>
      <c r="B502" s="107"/>
      <c r="C502" s="109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9"/>
      <c r="P502" s="9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20.25" customHeight="1">
      <c r="A503" s="8"/>
      <c r="B503" s="107"/>
      <c r="C503" s="109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9"/>
      <c r="P503" s="9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20.25" customHeight="1">
      <c r="A504" s="8"/>
      <c r="B504" s="107"/>
      <c r="C504" s="109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9"/>
      <c r="P504" s="9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20.25" customHeight="1">
      <c r="A505" s="8"/>
      <c r="B505" s="107"/>
      <c r="C505" s="109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9"/>
      <c r="P505" s="9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20.25" customHeight="1">
      <c r="A506" s="8"/>
      <c r="B506" s="107"/>
      <c r="C506" s="109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9"/>
      <c r="P506" s="9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20.25" customHeight="1">
      <c r="A507" s="8"/>
      <c r="B507" s="107"/>
      <c r="C507" s="109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9"/>
      <c r="P507" s="9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20.25" customHeight="1">
      <c r="A508" s="8"/>
      <c r="B508" s="107"/>
      <c r="C508" s="109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9"/>
      <c r="P508" s="9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20.25" customHeight="1">
      <c r="A509" s="8"/>
      <c r="B509" s="107"/>
      <c r="C509" s="109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9"/>
      <c r="P509" s="9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20.25" customHeight="1">
      <c r="A510" s="8"/>
      <c r="B510" s="107"/>
      <c r="C510" s="109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9"/>
      <c r="P510" s="9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20.25" customHeight="1">
      <c r="A511" s="8"/>
      <c r="B511" s="107"/>
      <c r="C511" s="109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9"/>
      <c r="P511" s="9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20.25" customHeight="1">
      <c r="A512" s="8"/>
      <c r="B512" s="107"/>
      <c r="C512" s="109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9"/>
      <c r="P512" s="9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20.25" customHeight="1">
      <c r="A513" s="8"/>
      <c r="B513" s="107"/>
      <c r="C513" s="109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9"/>
      <c r="P513" s="9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20.25" customHeight="1">
      <c r="A514" s="8"/>
      <c r="B514" s="107"/>
      <c r="C514" s="109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9"/>
      <c r="P514" s="9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20.25" customHeight="1">
      <c r="A515" s="8"/>
      <c r="B515" s="107"/>
      <c r="C515" s="109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9"/>
      <c r="P515" s="9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20.25" customHeight="1">
      <c r="A516" s="8"/>
      <c r="B516" s="107"/>
      <c r="C516" s="109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9"/>
      <c r="P516" s="9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20.25" customHeight="1">
      <c r="A517" s="8"/>
      <c r="B517" s="107"/>
      <c r="C517" s="109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9"/>
      <c r="P517" s="9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20.25" customHeight="1">
      <c r="A518" s="8"/>
      <c r="B518" s="107"/>
      <c r="C518" s="109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9"/>
      <c r="P518" s="9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20.25" customHeight="1">
      <c r="A519" s="8"/>
      <c r="B519" s="107"/>
      <c r="C519" s="109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9"/>
      <c r="P519" s="9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20.25" customHeight="1">
      <c r="A520" s="8"/>
      <c r="B520" s="107"/>
      <c r="C520" s="109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9"/>
      <c r="P520" s="9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20.25" customHeight="1">
      <c r="A521" s="8"/>
      <c r="B521" s="107"/>
      <c r="C521" s="109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9"/>
      <c r="P521" s="9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20.25" customHeight="1">
      <c r="A522" s="8"/>
      <c r="B522" s="107"/>
      <c r="C522" s="109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9"/>
      <c r="P522" s="9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20.25" customHeight="1">
      <c r="A523" s="8"/>
      <c r="B523" s="107"/>
      <c r="C523" s="109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9"/>
      <c r="P523" s="9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20.25" customHeight="1">
      <c r="A524" s="8"/>
      <c r="B524" s="107"/>
      <c r="C524" s="109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9"/>
      <c r="P524" s="9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20.25" customHeight="1">
      <c r="A525" s="8"/>
      <c r="B525" s="107"/>
      <c r="C525" s="109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9"/>
      <c r="P525" s="9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20.25" customHeight="1">
      <c r="A526" s="8"/>
      <c r="B526" s="107"/>
      <c r="C526" s="109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9"/>
      <c r="P526" s="9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20.25" customHeight="1">
      <c r="A527" s="8"/>
      <c r="B527" s="107"/>
      <c r="C527" s="109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9"/>
      <c r="P527" s="9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20.25" customHeight="1">
      <c r="A528" s="8"/>
      <c r="B528" s="107"/>
      <c r="C528" s="109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9"/>
      <c r="P528" s="9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20.25" customHeight="1">
      <c r="A529" s="8"/>
      <c r="B529" s="107"/>
      <c r="C529" s="109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9"/>
      <c r="P529" s="9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20.25" customHeight="1">
      <c r="A530" s="8"/>
      <c r="B530" s="107"/>
      <c r="C530" s="109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9"/>
      <c r="P530" s="9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20.25" customHeight="1">
      <c r="A531" s="8"/>
      <c r="B531" s="107"/>
      <c r="C531" s="109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9"/>
      <c r="P531" s="9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20.25" customHeight="1">
      <c r="A532" s="8"/>
      <c r="B532" s="107"/>
      <c r="C532" s="109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9"/>
      <c r="P532" s="9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20.25" customHeight="1">
      <c r="A533" s="8"/>
      <c r="B533" s="107"/>
      <c r="C533" s="109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9"/>
      <c r="P533" s="9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20.25" customHeight="1">
      <c r="A534" s="8"/>
      <c r="B534" s="107"/>
      <c r="C534" s="109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9"/>
      <c r="P534" s="9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20.25" customHeight="1">
      <c r="A535" s="8"/>
      <c r="B535" s="107"/>
      <c r="C535" s="109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9"/>
      <c r="P535" s="9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20.25" customHeight="1">
      <c r="A536" s="8"/>
      <c r="B536" s="107"/>
      <c r="C536" s="109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9"/>
      <c r="P536" s="9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20.25" customHeight="1">
      <c r="A537" s="8"/>
      <c r="B537" s="107"/>
      <c r="C537" s="109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9"/>
      <c r="P537" s="9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20.25" customHeight="1">
      <c r="A538" s="8"/>
      <c r="B538" s="107"/>
      <c r="C538" s="109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9"/>
      <c r="P538" s="9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20.25" customHeight="1">
      <c r="A539" s="8"/>
      <c r="B539" s="107"/>
      <c r="C539" s="109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9"/>
      <c r="P539" s="9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20.25" customHeight="1">
      <c r="A540" s="8"/>
      <c r="B540" s="107"/>
      <c r="C540" s="109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9"/>
      <c r="P540" s="9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20.25" customHeight="1">
      <c r="A541" s="8"/>
      <c r="B541" s="107"/>
      <c r="C541" s="109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9"/>
      <c r="P541" s="9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20.25" customHeight="1">
      <c r="A542" s="8"/>
      <c r="B542" s="107"/>
      <c r="C542" s="109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9"/>
      <c r="P542" s="9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20.25" customHeight="1">
      <c r="A543" s="8"/>
      <c r="B543" s="107"/>
      <c r="C543" s="109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9"/>
      <c r="P543" s="9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20.25" customHeight="1">
      <c r="A544" s="8"/>
      <c r="B544" s="107"/>
      <c r="C544" s="109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9"/>
      <c r="P544" s="9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20.25" customHeight="1">
      <c r="A545" s="8"/>
      <c r="B545" s="107"/>
      <c r="C545" s="109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9"/>
      <c r="P545" s="9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20.25" customHeight="1">
      <c r="A546" s="8"/>
      <c r="B546" s="107"/>
      <c r="C546" s="109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9"/>
      <c r="P546" s="9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20.25" customHeight="1">
      <c r="A547" s="8"/>
      <c r="B547" s="107"/>
      <c r="C547" s="109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9"/>
      <c r="P547" s="9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20.25" customHeight="1">
      <c r="A548" s="8"/>
      <c r="B548" s="107"/>
      <c r="C548" s="109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9"/>
      <c r="P548" s="9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20.25" customHeight="1">
      <c r="A549" s="8"/>
      <c r="B549" s="107"/>
      <c r="C549" s="109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9"/>
      <c r="P549" s="9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20.25" customHeight="1">
      <c r="A550" s="8"/>
      <c r="B550" s="107"/>
      <c r="C550" s="109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9"/>
      <c r="P550" s="9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20.25" customHeight="1">
      <c r="A551" s="8"/>
      <c r="B551" s="107"/>
      <c r="C551" s="109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9"/>
      <c r="P551" s="9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20.25" customHeight="1">
      <c r="A552" s="8"/>
      <c r="B552" s="107"/>
      <c r="C552" s="109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9"/>
      <c r="P552" s="9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20.25" customHeight="1">
      <c r="A553" s="8"/>
      <c r="B553" s="107"/>
      <c r="C553" s="109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9"/>
      <c r="P553" s="9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20.25" customHeight="1">
      <c r="A554" s="8"/>
      <c r="B554" s="107"/>
      <c r="C554" s="109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9"/>
      <c r="P554" s="9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20.25" customHeight="1">
      <c r="A555" s="8"/>
      <c r="B555" s="107"/>
      <c r="C555" s="109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9"/>
      <c r="P555" s="9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20.25" customHeight="1">
      <c r="A556" s="8"/>
      <c r="B556" s="107"/>
      <c r="C556" s="109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9"/>
      <c r="P556" s="9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20.25" customHeight="1">
      <c r="A557" s="8"/>
      <c r="B557" s="107"/>
      <c r="C557" s="109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9"/>
      <c r="P557" s="9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20.25" customHeight="1">
      <c r="A558" s="8"/>
      <c r="B558" s="107"/>
      <c r="C558" s="109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9"/>
      <c r="P558" s="9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20.25" customHeight="1">
      <c r="A559" s="8"/>
      <c r="B559" s="107"/>
      <c r="C559" s="109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9"/>
      <c r="P559" s="9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20.25" customHeight="1">
      <c r="A560" s="8"/>
      <c r="B560" s="107"/>
      <c r="C560" s="109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9"/>
      <c r="P560" s="9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20.25" customHeight="1">
      <c r="A561" s="8"/>
      <c r="B561" s="107"/>
      <c r="C561" s="109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9"/>
      <c r="P561" s="9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20.25" customHeight="1">
      <c r="A562" s="8"/>
      <c r="B562" s="107"/>
      <c r="C562" s="109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9"/>
      <c r="P562" s="9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20.25" customHeight="1">
      <c r="A563" s="8"/>
      <c r="B563" s="107"/>
      <c r="C563" s="109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9"/>
      <c r="P563" s="9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20.25" customHeight="1">
      <c r="A564" s="8"/>
      <c r="B564" s="107"/>
      <c r="C564" s="109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9"/>
      <c r="P564" s="9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20.25" customHeight="1">
      <c r="A565" s="8"/>
      <c r="B565" s="107"/>
      <c r="C565" s="109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9"/>
      <c r="P565" s="9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20.25" customHeight="1">
      <c r="A566" s="8"/>
      <c r="B566" s="107"/>
      <c r="C566" s="109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9"/>
      <c r="P566" s="9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20.25" customHeight="1">
      <c r="A567" s="8"/>
      <c r="B567" s="107"/>
      <c r="C567" s="109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9"/>
      <c r="P567" s="9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20.25" customHeight="1">
      <c r="A568" s="8"/>
      <c r="B568" s="107"/>
      <c r="C568" s="109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9"/>
      <c r="P568" s="9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20.25" customHeight="1">
      <c r="A569" s="8"/>
      <c r="B569" s="107"/>
      <c r="C569" s="109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9"/>
      <c r="P569" s="9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20.25" customHeight="1">
      <c r="A570" s="8"/>
      <c r="B570" s="107"/>
      <c r="C570" s="109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9"/>
      <c r="P570" s="9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20.25" customHeight="1">
      <c r="A571" s="8"/>
      <c r="B571" s="107"/>
      <c r="C571" s="109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9"/>
      <c r="P571" s="9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20.25" customHeight="1">
      <c r="A572" s="8"/>
      <c r="B572" s="107"/>
      <c r="C572" s="109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9"/>
      <c r="P572" s="9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20.25" customHeight="1">
      <c r="A573" s="8"/>
      <c r="B573" s="107"/>
      <c r="C573" s="109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9"/>
      <c r="P573" s="9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20.25" customHeight="1">
      <c r="A574" s="8"/>
      <c r="B574" s="107"/>
      <c r="C574" s="109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9"/>
      <c r="P574" s="9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20.25" customHeight="1">
      <c r="A575" s="8"/>
      <c r="B575" s="107"/>
      <c r="C575" s="109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9"/>
      <c r="P575" s="9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20.25" customHeight="1">
      <c r="A576" s="8"/>
      <c r="B576" s="107"/>
      <c r="C576" s="109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9"/>
      <c r="P576" s="9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20.25" customHeight="1">
      <c r="A577" s="8"/>
      <c r="B577" s="107"/>
      <c r="C577" s="109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9"/>
      <c r="P577" s="9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20.25" customHeight="1">
      <c r="A578" s="8"/>
      <c r="B578" s="107"/>
      <c r="C578" s="109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9"/>
      <c r="P578" s="9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20.25" customHeight="1">
      <c r="A579" s="8"/>
      <c r="B579" s="107"/>
      <c r="C579" s="109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9"/>
      <c r="P579" s="9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20.25" customHeight="1">
      <c r="A580" s="8"/>
      <c r="B580" s="107"/>
      <c r="C580" s="109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9"/>
      <c r="P580" s="9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20.25" customHeight="1">
      <c r="A581" s="8"/>
      <c r="B581" s="107"/>
      <c r="C581" s="109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9"/>
      <c r="P581" s="9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20.25" customHeight="1">
      <c r="A582" s="8"/>
      <c r="B582" s="107"/>
      <c r="C582" s="109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9"/>
      <c r="P582" s="9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20.25" customHeight="1">
      <c r="A583" s="8"/>
      <c r="B583" s="107"/>
      <c r="C583" s="109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9"/>
      <c r="P583" s="9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20.25" customHeight="1">
      <c r="A584" s="8"/>
      <c r="B584" s="107"/>
      <c r="C584" s="109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9"/>
      <c r="P584" s="9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20.25" customHeight="1">
      <c r="A585" s="8"/>
      <c r="B585" s="107"/>
      <c r="C585" s="109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9"/>
      <c r="P585" s="9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20.25" customHeight="1">
      <c r="A586" s="8"/>
      <c r="B586" s="107"/>
      <c r="C586" s="109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9"/>
      <c r="P586" s="9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20.25" customHeight="1">
      <c r="A587" s="8"/>
      <c r="B587" s="107"/>
      <c r="C587" s="109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9"/>
      <c r="P587" s="9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20.25" customHeight="1">
      <c r="A588" s="8"/>
      <c r="B588" s="107"/>
      <c r="C588" s="109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9"/>
      <c r="P588" s="9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20.25" customHeight="1">
      <c r="A589" s="8"/>
      <c r="B589" s="107"/>
      <c r="C589" s="109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9"/>
      <c r="P589" s="9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20.25" customHeight="1">
      <c r="A590" s="8"/>
      <c r="B590" s="107"/>
      <c r="C590" s="109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9"/>
      <c r="P590" s="9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20.25" customHeight="1">
      <c r="A591" s="8"/>
      <c r="B591" s="107"/>
      <c r="C591" s="109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9"/>
      <c r="P591" s="9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20.25" customHeight="1">
      <c r="A592" s="8"/>
      <c r="B592" s="107"/>
      <c r="C592" s="109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9"/>
      <c r="P592" s="9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20.25" customHeight="1">
      <c r="A593" s="8"/>
      <c r="B593" s="107"/>
      <c r="C593" s="109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9"/>
      <c r="P593" s="9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20.25" customHeight="1">
      <c r="A594" s="8"/>
      <c r="B594" s="107"/>
      <c r="C594" s="109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9"/>
      <c r="P594" s="9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20.25" customHeight="1">
      <c r="A595" s="8"/>
      <c r="B595" s="107"/>
      <c r="C595" s="109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9"/>
      <c r="P595" s="9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20.25" customHeight="1">
      <c r="A596" s="8"/>
      <c r="B596" s="107"/>
      <c r="C596" s="109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9"/>
      <c r="P596" s="9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20.25" customHeight="1">
      <c r="A597" s="8"/>
      <c r="B597" s="107"/>
      <c r="C597" s="109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9"/>
      <c r="P597" s="9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20.25" customHeight="1">
      <c r="A598" s="8"/>
      <c r="B598" s="107"/>
      <c r="C598" s="109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9"/>
      <c r="P598" s="9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20.25" customHeight="1">
      <c r="A599" s="8"/>
      <c r="B599" s="107"/>
      <c r="C599" s="109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9"/>
      <c r="P599" s="9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20.25" customHeight="1">
      <c r="A600" s="8"/>
      <c r="B600" s="107"/>
      <c r="C600" s="109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9"/>
      <c r="P600" s="9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20.25" customHeight="1">
      <c r="A601" s="8"/>
      <c r="B601" s="107"/>
      <c r="C601" s="109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9"/>
      <c r="P601" s="9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20.25" customHeight="1">
      <c r="A602" s="8"/>
      <c r="B602" s="107"/>
      <c r="C602" s="109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9"/>
      <c r="P602" s="9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20.25" customHeight="1">
      <c r="A603" s="8"/>
      <c r="B603" s="107"/>
      <c r="C603" s="109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9"/>
      <c r="P603" s="9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20.25" customHeight="1">
      <c r="A604" s="8"/>
      <c r="B604" s="107"/>
      <c r="C604" s="109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9"/>
      <c r="P604" s="9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20.25" customHeight="1">
      <c r="A605" s="8"/>
      <c r="B605" s="107"/>
      <c r="C605" s="109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9"/>
      <c r="P605" s="9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20.25" customHeight="1">
      <c r="A606" s="8"/>
      <c r="B606" s="107"/>
      <c r="C606" s="109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9"/>
      <c r="P606" s="9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20.25" customHeight="1">
      <c r="A607" s="8"/>
      <c r="B607" s="107"/>
      <c r="C607" s="109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9"/>
      <c r="P607" s="9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20.25" customHeight="1">
      <c r="A608" s="8"/>
      <c r="B608" s="107"/>
      <c r="C608" s="109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9"/>
      <c r="P608" s="9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20.25" customHeight="1">
      <c r="A609" s="8"/>
      <c r="B609" s="107"/>
      <c r="C609" s="109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9"/>
      <c r="P609" s="9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20.25" customHeight="1">
      <c r="A610" s="8"/>
      <c r="B610" s="107"/>
      <c r="C610" s="109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9"/>
      <c r="P610" s="9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20.25" customHeight="1">
      <c r="A611" s="8"/>
      <c r="B611" s="107"/>
      <c r="C611" s="109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9"/>
      <c r="P611" s="9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20.25" customHeight="1">
      <c r="A612" s="8"/>
      <c r="B612" s="107"/>
      <c r="C612" s="109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9"/>
      <c r="P612" s="9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20.25" customHeight="1">
      <c r="A613" s="8"/>
      <c r="B613" s="107"/>
      <c r="C613" s="109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9"/>
      <c r="P613" s="9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20.25" customHeight="1">
      <c r="A614" s="8"/>
      <c r="B614" s="107"/>
      <c r="C614" s="109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9"/>
      <c r="P614" s="9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20.25" customHeight="1">
      <c r="A615" s="8"/>
      <c r="B615" s="107"/>
      <c r="C615" s="109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9"/>
      <c r="P615" s="9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20.25" customHeight="1">
      <c r="A616" s="8"/>
      <c r="B616" s="107"/>
      <c r="C616" s="109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9"/>
      <c r="P616" s="9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20.25" customHeight="1">
      <c r="A617" s="8"/>
      <c r="B617" s="107"/>
      <c r="C617" s="109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9"/>
      <c r="P617" s="9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20.25" customHeight="1">
      <c r="A618" s="8"/>
      <c r="B618" s="107"/>
      <c r="C618" s="109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9"/>
      <c r="P618" s="9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20.25" customHeight="1">
      <c r="A619" s="8"/>
      <c r="B619" s="107"/>
      <c r="C619" s="109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9"/>
      <c r="P619" s="9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20.25" customHeight="1">
      <c r="A620" s="8"/>
      <c r="B620" s="107"/>
      <c r="C620" s="109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9"/>
      <c r="P620" s="9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20.25" customHeight="1">
      <c r="A621" s="8"/>
      <c r="B621" s="107"/>
      <c r="C621" s="109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9"/>
      <c r="P621" s="9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20.25" customHeight="1">
      <c r="A622" s="8"/>
      <c r="B622" s="107"/>
      <c r="C622" s="109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9"/>
      <c r="P622" s="9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20.25" customHeight="1">
      <c r="A623" s="8"/>
      <c r="B623" s="107"/>
      <c r="C623" s="109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9"/>
      <c r="P623" s="9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20.25" customHeight="1">
      <c r="A624" s="8"/>
      <c r="B624" s="107"/>
      <c r="C624" s="109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9"/>
      <c r="P624" s="9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20.25" customHeight="1">
      <c r="A625" s="8"/>
      <c r="B625" s="107"/>
      <c r="C625" s="109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9"/>
      <c r="P625" s="9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20.25" customHeight="1">
      <c r="A626" s="8"/>
      <c r="B626" s="107"/>
      <c r="C626" s="109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9"/>
      <c r="P626" s="9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20.25" customHeight="1">
      <c r="A627" s="8"/>
      <c r="B627" s="107"/>
      <c r="C627" s="109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9"/>
      <c r="P627" s="9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20.25" customHeight="1">
      <c r="A628" s="8"/>
      <c r="B628" s="107"/>
      <c r="C628" s="109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9"/>
      <c r="P628" s="9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20.25" customHeight="1">
      <c r="A629" s="8"/>
      <c r="B629" s="107"/>
      <c r="C629" s="109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9"/>
      <c r="P629" s="9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20.25" customHeight="1">
      <c r="A630" s="8"/>
      <c r="B630" s="107"/>
      <c r="C630" s="109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9"/>
      <c r="P630" s="9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20.25" customHeight="1">
      <c r="A631" s="8"/>
      <c r="B631" s="107"/>
      <c r="C631" s="109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9"/>
      <c r="P631" s="9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20.25" customHeight="1">
      <c r="A632" s="8"/>
      <c r="B632" s="107"/>
      <c r="C632" s="109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9"/>
      <c r="P632" s="9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20.25" customHeight="1">
      <c r="A633" s="8"/>
      <c r="B633" s="107"/>
      <c r="C633" s="109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9"/>
      <c r="P633" s="9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20.25" customHeight="1">
      <c r="A634" s="8"/>
      <c r="B634" s="107"/>
      <c r="C634" s="109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9"/>
      <c r="P634" s="9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20.25" customHeight="1">
      <c r="A635" s="8"/>
      <c r="B635" s="107"/>
      <c r="C635" s="109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9"/>
      <c r="P635" s="9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20.25" customHeight="1">
      <c r="A636" s="8"/>
      <c r="B636" s="107"/>
      <c r="C636" s="109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9"/>
      <c r="P636" s="9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20.25" customHeight="1">
      <c r="A637" s="8"/>
      <c r="B637" s="107"/>
      <c r="C637" s="109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9"/>
      <c r="P637" s="9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20.25" customHeight="1">
      <c r="A638" s="8"/>
      <c r="B638" s="107"/>
      <c r="C638" s="109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9"/>
      <c r="P638" s="9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20.25" customHeight="1">
      <c r="A639" s="8"/>
      <c r="B639" s="107"/>
      <c r="C639" s="109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9"/>
      <c r="P639" s="9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20.25" customHeight="1">
      <c r="A640" s="8"/>
      <c r="B640" s="107"/>
      <c r="C640" s="109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9"/>
      <c r="P640" s="9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20.25" customHeight="1">
      <c r="A641" s="8"/>
      <c r="B641" s="107"/>
      <c r="C641" s="109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9"/>
      <c r="P641" s="9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20.25" customHeight="1">
      <c r="A642" s="8"/>
      <c r="B642" s="107"/>
      <c r="C642" s="109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9"/>
      <c r="P642" s="9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20.25" customHeight="1">
      <c r="A643" s="8"/>
      <c r="B643" s="107"/>
      <c r="C643" s="109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9"/>
      <c r="P643" s="9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20.25" customHeight="1">
      <c r="A644" s="8"/>
      <c r="B644" s="107"/>
      <c r="C644" s="109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9"/>
      <c r="P644" s="9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20.25" customHeight="1">
      <c r="A645" s="8"/>
      <c r="B645" s="107"/>
      <c r="C645" s="109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9"/>
      <c r="P645" s="9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20.25" customHeight="1">
      <c r="A646" s="8"/>
      <c r="B646" s="107"/>
      <c r="C646" s="109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9"/>
      <c r="P646" s="9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20.25" customHeight="1">
      <c r="A647" s="8"/>
      <c r="B647" s="107"/>
      <c r="C647" s="109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9"/>
      <c r="P647" s="9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20.25" customHeight="1">
      <c r="A648" s="8"/>
      <c r="B648" s="107"/>
      <c r="C648" s="109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9"/>
      <c r="P648" s="9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20.25" customHeight="1">
      <c r="A649" s="8"/>
      <c r="B649" s="107"/>
      <c r="C649" s="109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9"/>
      <c r="P649" s="9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20.25" customHeight="1">
      <c r="A650" s="8"/>
      <c r="B650" s="107"/>
      <c r="C650" s="109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9"/>
      <c r="P650" s="9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20.25" customHeight="1">
      <c r="A651" s="8"/>
      <c r="B651" s="107"/>
      <c r="C651" s="109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9"/>
      <c r="P651" s="9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20.25" customHeight="1">
      <c r="A652" s="8"/>
      <c r="B652" s="107"/>
      <c r="C652" s="109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9"/>
      <c r="P652" s="9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20.25" customHeight="1">
      <c r="A653" s="8"/>
      <c r="B653" s="107"/>
      <c r="C653" s="109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9"/>
      <c r="P653" s="9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20.25" customHeight="1">
      <c r="A654" s="8"/>
      <c r="B654" s="107"/>
      <c r="C654" s="109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9"/>
      <c r="P654" s="9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20.25" customHeight="1">
      <c r="A655" s="8"/>
      <c r="B655" s="107"/>
      <c r="C655" s="109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9"/>
      <c r="P655" s="9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20.25" customHeight="1">
      <c r="A656" s="8"/>
      <c r="B656" s="107"/>
      <c r="C656" s="109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9"/>
      <c r="P656" s="9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20.25" customHeight="1">
      <c r="A657" s="8"/>
      <c r="B657" s="107"/>
      <c r="C657" s="109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9"/>
      <c r="P657" s="9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20.25" customHeight="1">
      <c r="A658" s="8"/>
      <c r="B658" s="107"/>
      <c r="C658" s="109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9"/>
      <c r="P658" s="9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20.25" customHeight="1">
      <c r="A659" s="8"/>
      <c r="B659" s="107"/>
      <c r="C659" s="109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9"/>
      <c r="P659" s="9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20.25" customHeight="1">
      <c r="A660" s="8"/>
      <c r="B660" s="107"/>
      <c r="C660" s="109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9"/>
      <c r="P660" s="9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20.25" customHeight="1">
      <c r="A661" s="8"/>
      <c r="B661" s="107"/>
      <c r="C661" s="109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9"/>
      <c r="P661" s="9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20.25" customHeight="1">
      <c r="A662" s="8"/>
      <c r="B662" s="107"/>
      <c r="C662" s="109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9"/>
      <c r="P662" s="9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20.25" customHeight="1">
      <c r="A663" s="8"/>
      <c r="B663" s="107"/>
      <c r="C663" s="109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9"/>
      <c r="P663" s="9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20.25" customHeight="1">
      <c r="A664" s="8"/>
      <c r="B664" s="107"/>
      <c r="C664" s="109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9"/>
      <c r="P664" s="9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20.25" customHeight="1">
      <c r="A665" s="8"/>
      <c r="B665" s="107"/>
      <c r="C665" s="109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9"/>
      <c r="P665" s="9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20.25" customHeight="1">
      <c r="A666" s="8"/>
      <c r="B666" s="107"/>
      <c r="C666" s="109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9"/>
      <c r="P666" s="9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20.25" customHeight="1">
      <c r="A667" s="8"/>
      <c r="B667" s="107"/>
      <c r="C667" s="109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9"/>
      <c r="P667" s="9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20.25" customHeight="1">
      <c r="A668" s="8"/>
      <c r="B668" s="107"/>
      <c r="C668" s="109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9"/>
      <c r="P668" s="9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20.25" customHeight="1">
      <c r="A669" s="8"/>
      <c r="B669" s="107"/>
      <c r="C669" s="109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9"/>
      <c r="P669" s="9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20.25" customHeight="1">
      <c r="A670" s="8"/>
      <c r="B670" s="107"/>
      <c r="C670" s="109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9"/>
      <c r="P670" s="9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20.25" customHeight="1">
      <c r="A671" s="8"/>
      <c r="B671" s="107"/>
      <c r="C671" s="109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9"/>
      <c r="P671" s="9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20.25" customHeight="1">
      <c r="A672" s="8"/>
      <c r="B672" s="107"/>
      <c r="C672" s="109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9"/>
      <c r="P672" s="9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20.25" customHeight="1">
      <c r="A673" s="8"/>
      <c r="B673" s="107"/>
      <c r="C673" s="109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9"/>
      <c r="P673" s="9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20.25" customHeight="1">
      <c r="A674" s="8"/>
      <c r="B674" s="107"/>
      <c r="C674" s="109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9"/>
      <c r="P674" s="9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20.25" customHeight="1">
      <c r="A675" s="8"/>
      <c r="B675" s="107"/>
      <c r="C675" s="109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9"/>
      <c r="P675" s="9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20.25" customHeight="1">
      <c r="A676" s="8"/>
      <c r="B676" s="107"/>
      <c r="C676" s="109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9"/>
      <c r="P676" s="9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20.25" customHeight="1">
      <c r="A677" s="8"/>
      <c r="B677" s="107"/>
      <c r="C677" s="109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9"/>
      <c r="P677" s="9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20.25" customHeight="1">
      <c r="A678" s="8"/>
      <c r="B678" s="107"/>
      <c r="C678" s="109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9"/>
      <c r="P678" s="9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20.25" customHeight="1">
      <c r="A679" s="8"/>
      <c r="B679" s="107"/>
      <c r="C679" s="109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9"/>
      <c r="P679" s="9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20.25" customHeight="1">
      <c r="A680" s="8"/>
      <c r="B680" s="107"/>
      <c r="C680" s="109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9"/>
      <c r="P680" s="9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20.25" customHeight="1">
      <c r="A681" s="8"/>
      <c r="B681" s="107"/>
      <c r="C681" s="109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9"/>
      <c r="P681" s="9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20.25" customHeight="1">
      <c r="A682" s="8"/>
      <c r="B682" s="107"/>
      <c r="C682" s="109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9"/>
      <c r="P682" s="9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20.25" customHeight="1">
      <c r="A683" s="8"/>
      <c r="B683" s="107"/>
      <c r="C683" s="109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9"/>
      <c r="P683" s="9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20.25" customHeight="1">
      <c r="A684" s="8"/>
      <c r="B684" s="107"/>
      <c r="C684" s="109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9"/>
      <c r="P684" s="9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20.25" customHeight="1">
      <c r="A685" s="8"/>
      <c r="B685" s="107"/>
      <c r="C685" s="109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9"/>
      <c r="P685" s="9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20.25" customHeight="1">
      <c r="A686" s="8"/>
      <c r="B686" s="107"/>
      <c r="C686" s="109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9"/>
      <c r="P686" s="9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20.25" customHeight="1">
      <c r="A687" s="8"/>
      <c r="B687" s="107"/>
      <c r="C687" s="109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9"/>
      <c r="P687" s="9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20.25" customHeight="1">
      <c r="A688" s="8"/>
      <c r="B688" s="107"/>
      <c r="C688" s="109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9"/>
      <c r="P688" s="9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20.25" customHeight="1">
      <c r="A689" s="8"/>
      <c r="B689" s="107"/>
      <c r="C689" s="109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9"/>
      <c r="P689" s="9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20.25" customHeight="1">
      <c r="A690" s="8"/>
      <c r="B690" s="107"/>
      <c r="C690" s="109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9"/>
      <c r="P690" s="9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20.25" customHeight="1">
      <c r="A691" s="8"/>
      <c r="B691" s="107"/>
      <c r="C691" s="109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9"/>
      <c r="P691" s="9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20.25" customHeight="1">
      <c r="A692" s="8"/>
      <c r="B692" s="107"/>
      <c r="C692" s="109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9"/>
      <c r="P692" s="9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20.25" customHeight="1">
      <c r="A693" s="8"/>
      <c r="B693" s="107"/>
      <c r="C693" s="109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9"/>
      <c r="P693" s="9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20.25" customHeight="1">
      <c r="A694" s="8"/>
      <c r="B694" s="107"/>
      <c r="C694" s="109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9"/>
      <c r="P694" s="9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20.25" customHeight="1">
      <c r="A695" s="8"/>
      <c r="B695" s="107"/>
      <c r="C695" s="109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9"/>
      <c r="P695" s="9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20.25" customHeight="1">
      <c r="A696" s="8"/>
      <c r="B696" s="107"/>
      <c r="C696" s="109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9"/>
      <c r="P696" s="9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20.25" customHeight="1">
      <c r="A697" s="8"/>
      <c r="B697" s="107"/>
      <c r="C697" s="109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9"/>
      <c r="P697" s="9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20.25" customHeight="1">
      <c r="A698" s="8"/>
      <c r="B698" s="107"/>
      <c r="C698" s="109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9"/>
      <c r="P698" s="9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20.25" customHeight="1">
      <c r="A699" s="8"/>
      <c r="B699" s="107"/>
      <c r="C699" s="109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9"/>
      <c r="P699" s="9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20.25" customHeight="1">
      <c r="A700" s="8"/>
      <c r="B700" s="107"/>
      <c r="C700" s="109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9"/>
      <c r="P700" s="9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20.25" customHeight="1">
      <c r="A701" s="8"/>
      <c r="B701" s="107"/>
      <c r="C701" s="109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9"/>
      <c r="P701" s="9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20.25" customHeight="1">
      <c r="A702" s="8"/>
      <c r="B702" s="107"/>
      <c r="C702" s="109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9"/>
      <c r="P702" s="9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20.25" customHeight="1">
      <c r="A703" s="8"/>
      <c r="B703" s="107"/>
      <c r="C703" s="109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9"/>
      <c r="P703" s="9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20.25" customHeight="1">
      <c r="A704" s="8"/>
      <c r="B704" s="107"/>
      <c r="C704" s="109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9"/>
      <c r="P704" s="9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20.25" customHeight="1">
      <c r="A705" s="8"/>
      <c r="B705" s="107"/>
      <c r="C705" s="109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9"/>
      <c r="P705" s="9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20.25" customHeight="1">
      <c r="A706" s="8"/>
      <c r="B706" s="107"/>
      <c r="C706" s="109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9"/>
      <c r="P706" s="9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ht="20.25" customHeight="1">
      <c r="A707" s="8"/>
      <c r="B707" s="107"/>
      <c r="C707" s="109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9"/>
      <c r="P707" s="9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ht="20.25" customHeight="1">
      <c r="A708" s="8"/>
      <c r="B708" s="107"/>
      <c r="C708" s="109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9"/>
      <c r="P708" s="9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ht="20.25" customHeight="1">
      <c r="A709" s="8"/>
      <c r="B709" s="107"/>
      <c r="C709" s="109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9"/>
      <c r="P709" s="9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ht="20.25" customHeight="1">
      <c r="A710" s="8"/>
      <c r="B710" s="107"/>
      <c r="C710" s="109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9"/>
      <c r="P710" s="9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ht="20.25" customHeight="1">
      <c r="A711" s="8"/>
      <c r="B711" s="107"/>
      <c r="C711" s="109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9"/>
      <c r="P711" s="9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ht="20.25" customHeight="1">
      <c r="A712" s="8"/>
      <c r="B712" s="107"/>
      <c r="C712" s="109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9"/>
      <c r="P712" s="9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ht="20.25" customHeight="1">
      <c r="A713" s="8"/>
      <c r="B713" s="107"/>
      <c r="C713" s="109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9"/>
      <c r="P713" s="9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ht="20.25" customHeight="1">
      <c r="A714" s="8"/>
      <c r="B714" s="107"/>
      <c r="C714" s="109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9"/>
      <c r="P714" s="9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ht="20.25" customHeight="1">
      <c r="A715" s="8"/>
      <c r="B715" s="107"/>
      <c r="C715" s="109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9"/>
      <c r="P715" s="9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ht="20.25" customHeight="1">
      <c r="A716" s="8"/>
      <c r="B716" s="107"/>
      <c r="C716" s="109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9"/>
      <c r="P716" s="9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ht="20.25" customHeight="1">
      <c r="A717" s="8"/>
      <c r="B717" s="107"/>
      <c r="C717" s="109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9"/>
      <c r="P717" s="9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ht="20.25" customHeight="1">
      <c r="A718" s="8"/>
      <c r="B718" s="107"/>
      <c r="C718" s="109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9"/>
      <c r="P718" s="9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ht="20.25" customHeight="1">
      <c r="A719" s="8"/>
      <c r="B719" s="107"/>
      <c r="C719" s="109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9"/>
      <c r="P719" s="9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ht="20.25" customHeight="1">
      <c r="A720" s="8"/>
      <c r="B720" s="107"/>
      <c r="C720" s="109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9"/>
      <c r="P720" s="9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ht="20.25" customHeight="1">
      <c r="A721" s="8"/>
      <c r="B721" s="107"/>
      <c r="C721" s="109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9"/>
      <c r="P721" s="9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ht="20.25" customHeight="1">
      <c r="A722" s="8"/>
      <c r="B722" s="107"/>
      <c r="C722" s="109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9"/>
      <c r="P722" s="9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ht="20.25" customHeight="1">
      <c r="A723" s="8"/>
      <c r="B723" s="107"/>
      <c r="C723" s="109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9"/>
      <c r="P723" s="9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ht="20.25" customHeight="1">
      <c r="A724" s="8"/>
      <c r="B724" s="107"/>
      <c r="C724" s="109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9"/>
      <c r="P724" s="9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ht="20.25" customHeight="1">
      <c r="A725" s="8"/>
      <c r="B725" s="107"/>
      <c r="C725" s="109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9"/>
      <c r="P725" s="9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ht="20.25" customHeight="1">
      <c r="A726" s="8"/>
      <c r="B726" s="107"/>
      <c r="C726" s="109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9"/>
      <c r="P726" s="9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ht="20.25" customHeight="1">
      <c r="A727" s="8"/>
      <c r="B727" s="107"/>
      <c r="C727" s="109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9"/>
      <c r="P727" s="9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ht="20.25" customHeight="1">
      <c r="A728" s="8"/>
      <c r="B728" s="107"/>
      <c r="C728" s="109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9"/>
      <c r="P728" s="9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ht="20.25" customHeight="1">
      <c r="A729" s="8"/>
      <c r="B729" s="107"/>
      <c r="C729" s="109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9"/>
      <c r="P729" s="9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ht="20.25" customHeight="1">
      <c r="A730" s="8"/>
      <c r="B730" s="107"/>
      <c r="C730" s="109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9"/>
      <c r="P730" s="9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ht="20.25" customHeight="1">
      <c r="A731" s="8"/>
      <c r="B731" s="107"/>
      <c r="C731" s="109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9"/>
      <c r="P731" s="9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ht="20.25" customHeight="1">
      <c r="A732" s="8"/>
      <c r="B732" s="107"/>
      <c r="C732" s="109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9"/>
      <c r="P732" s="9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ht="20.25" customHeight="1">
      <c r="A733" s="8"/>
      <c r="B733" s="107"/>
      <c r="C733" s="109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9"/>
      <c r="P733" s="9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ht="20.25" customHeight="1">
      <c r="A734" s="8"/>
      <c r="B734" s="107"/>
      <c r="C734" s="109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9"/>
      <c r="P734" s="9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ht="20.25" customHeight="1">
      <c r="A735" s="8"/>
      <c r="B735" s="107"/>
      <c r="C735" s="109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9"/>
      <c r="P735" s="9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ht="20.25" customHeight="1">
      <c r="A736" s="8"/>
      <c r="B736" s="107"/>
      <c r="C736" s="109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9"/>
      <c r="P736" s="9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ht="20.25" customHeight="1">
      <c r="A737" s="8"/>
      <c r="B737" s="107"/>
      <c r="C737" s="109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9"/>
      <c r="P737" s="9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ht="20.25" customHeight="1">
      <c r="A738" s="8"/>
      <c r="B738" s="107"/>
      <c r="C738" s="109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9"/>
      <c r="P738" s="9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ht="20.25" customHeight="1">
      <c r="A739" s="8"/>
      <c r="B739" s="107"/>
      <c r="C739" s="109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9"/>
      <c r="P739" s="9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ht="20.25" customHeight="1">
      <c r="A740" s="8"/>
      <c r="B740" s="107"/>
      <c r="C740" s="109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9"/>
      <c r="P740" s="9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ht="20.25" customHeight="1">
      <c r="A741" s="8"/>
      <c r="B741" s="107"/>
      <c r="C741" s="109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9"/>
      <c r="P741" s="9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ht="20.25" customHeight="1">
      <c r="A742" s="8"/>
      <c r="B742" s="107"/>
      <c r="C742" s="109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9"/>
      <c r="P742" s="9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ht="20.25" customHeight="1">
      <c r="A743" s="8"/>
      <c r="B743" s="107"/>
      <c r="C743" s="109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9"/>
      <c r="P743" s="9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ht="20.25" customHeight="1">
      <c r="A744" s="8"/>
      <c r="B744" s="107"/>
      <c r="C744" s="109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9"/>
      <c r="P744" s="9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ht="20.25" customHeight="1">
      <c r="A745" s="8"/>
      <c r="B745" s="107"/>
      <c r="C745" s="109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9"/>
      <c r="P745" s="9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ht="20.25" customHeight="1">
      <c r="A746" s="8"/>
      <c r="B746" s="107"/>
      <c r="C746" s="109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9"/>
      <c r="P746" s="9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ht="20.25" customHeight="1">
      <c r="A747" s="8"/>
      <c r="B747" s="107"/>
      <c r="C747" s="109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9"/>
      <c r="P747" s="9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ht="20.25" customHeight="1">
      <c r="A748" s="8"/>
      <c r="B748" s="107"/>
      <c r="C748" s="109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9"/>
      <c r="P748" s="9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ht="20.25" customHeight="1">
      <c r="A749" s="8"/>
      <c r="B749" s="107"/>
      <c r="C749" s="109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9"/>
      <c r="P749" s="9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ht="20.25" customHeight="1">
      <c r="A750" s="8"/>
      <c r="B750" s="107"/>
      <c r="C750" s="109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9"/>
      <c r="P750" s="9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ht="20.25" customHeight="1">
      <c r="A751" s="8"/>
      <c r="B751" s="107"/>
      <c r="C751" s="109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9"/>
      <c r="P751" s="9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ht="20.25" customHeight="1">
      <c r="A752" s="8"/>
      <c r="B752" s="107"/>
      <c r="C752" s="109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9"/>
      <c r="P752" s="9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ht="20.25" customHeight="1">
      <c r="A753" s="8"/>
      <c r="B753" s="107"/>
      <c r="C753" s="109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9"/>
      <c r="P753" s="9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ht="20.25" customHeight="1">
      <c r="A754" s="8"/>
      <c r="B754" s="107"/>
      <c r="C754" s="109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9"/>
      <c r="P754" s="9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ht="20.25" customHeight="1">
      <c r="A755" s="8"/>
      <c r="B755" s="107"/>
      <c r="C755" s="109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9"/>
      <c r="P755" s="9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ht="20.25" customHeight="1">
      <c r="A756" s="8"/>
      <c r="B756" s="107"/>
      <c r="C756" s="109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9"/>
      <c r="P756" s="9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ht="20.25" customHeight="1">
      <c r="A757" s="8"/>
      <c r="B757" s="107"/>
      <c r="C757" s="109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9"/>
      <c r="P757" s="9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ht="20.25" customHeight="1">
      <c r="A758" s="8"/>
      <c r="B758" s="107"/>
      <c r="C758" s="109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9"/>
      <c r="P758" s="9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ht="20.25" customHeight="1">
      <c r="A759" s="8"/>
      <c r="B759" s="107"/>
      <c r="C759" s="109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9"/>
      <c r="P759" s="9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ht="20.25" customHeight="1">
      <c r="A760" s="8"/>
      <c r="B760" s="107"/>
      <c r="C760" s="109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9"/>
      <c r="P760" s="9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ht="20.25" customHeight="1">
      <c r="A761" s="8"/>
      <c r="B761" s="107"/>
      <c r="C761" s="109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9"/>
      <c r="P761" s="9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ht="20.25" customHeight="1">
      <c r="A762" s="8"/>
      <c r="B762" s="107"/>
      <c r="C762" s="109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9"/>
      <c r="P762" s="9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ht="20.25" customHeight="1">
      <c r="A763" s="8"/>
      <c r="B763" s="107"/>
      <c r="C763" s="109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9"/>
      <c r="P763" s="9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ht="20.25" customHeight="1">
      <c r="A764" s="8"/>
      <c r="B764" s="107"/>
      <c r="C764" s="109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9"/>
      <c r="P764" s="9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ht="20.25" customHeight="1">
      <c r="A765" s="8"/>
      <c r="B765" s="107"/>
      <c r="C765" s="109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9"/>
      <c r="P765" s="9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ht="20.25" customHeight="1">
      <c r="A766" s="8"/>
      <c r="B766" s="107"/>
      <c r="C766" s="109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9"/>
      <c r="P766" s="9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ht="20.25" customHeight="1">
      <c r="A767" s="8"/>
      <c r="B767" s="107"/>
      <c r="C767" s="109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9"/>
      <c r="P767" s="9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ht="20.25" customHeight="1">
      <c r="A768" s="8"/>
      <c r="B768" s="107"/>
      <c r="C768" s="109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9"/>
      <c r="P768" s="9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ht="20.25" customHeight="1">
      <c r="A769" s="8"/>
      <c r="B769" s="107"/>
      <c r="C769" s="109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9"/>
      <c r="P769" s="9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ht="20.25" customHeight="1">
      <c r="A770" s="8"/>
      <c r="B770" s="107"/>
      <c r="C770" s="109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9"/>
      <c r="P770" s="9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ht="20.25" customHeight="1">
      <c r="A771" s="8"/>
      <c r="B771" s="107"/>
      <c r="C771" s="109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9"/>
      <c r="P771" s="9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ht="20.25" customHeight="1">
      <c r="A772" s="8"/>
      <c r="B772" s="107"/>
      <c r="C772" s="109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9"/>
      <c r="P772" s="9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ht="20.25" customHeight="1">
      <c r="A773" s="8"/>
      <c r="B773" s="107"/>
      <c r="C773" s="109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9"/>
      <c r="P773" s="9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ht="20.25" customHeight="1">
      <c r="A774" s="8"/>
      <c r="B774" s="107"/>
      <c r="C774" s="109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9"/>
      <c r="P774" s="9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ht="20.25" customHeight="1">
      <c r="A775" s="8"/>
      <c r="B775" s="107"/>
      <c r="C775" s="109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9"/>
      <c r="P775" s="9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ht="20.25" customHeight="1">
      <c r="A776" s="8"/>
      <c r="B776" s="107"/>
      <c r="C776" s="109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9"/>
      <c r="P776" s="9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ht="20.25" customHeight="1">
      <c r="A777" s="8"/>
      <c r="B777" s="107"/>
      <c r="C777" s="109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9"/>
      <c r="P777" s="9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ht="20.25" customHeight="1">
      <c r="A778" s="8"/>
      <c r="B778" s="107"/>
      <c r="C778" s="109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9"/>
      <c r="P778" s="9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ht="20.25" customHeight="1">
      <c r="A779" s="8"/>
      <c r="B779" s="107"/>
      <c r="C779" s="109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9"/>
      <c r="P779" s="9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ht="20.25" customHeight="1">
      <c r="A780" s="8"/>
      <c r="B780" s="107"/>
      <c r="C780" s="109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9"/>
      <c r="P780" s="9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ht="20.25" customHeight="1">
      <c r="A781" s="8"/>
      <c r="B781" s="107"/>
      <c r="C781" s="109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9"/>
      <c r="P781" s="9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ht="20.25" customHeight="1">
      <c r="A782" s="8"/>
      <c r="B782" s="107"/>
      <c r="C782" s="109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9"/>
      <c r="P782" s="9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ht="20.25" customHeight="1">
      <c r="A783" s="8"/>
      <c r="B783" s="107"/>
      <c r="C783" s="109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9"/>
      <c r="P783" s="9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ht="20.25" customHeight="1">
      <c r="A784" s="8"/>
      <c r="B784" s="107"/>
      <c r="C784" s="109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9"/>
      <c r="P784" s="9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ht="20.25" customHeight="1">
      <c r="A785" s="8"/>
      <c r="B785" s="107"/>
      <c r="C785" s="109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9"/>
      <c r="P785" s="9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ht="20.25" customHeight="1">
      <c r="A786" s="8"/>
      <c r="B786" s="107"/>
      <c r="C786" s="109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9"/>
      <c r="P786" s="9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ht="20.25" customHeight="1">
      <c r="A787" s="8"/>
      <c r="B787" s="107"/>
      <c r="C787" s="109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9"/>
      <c r="P787" s="9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ht="20.25" customHeight="1">
      <c r="A788" s="8"/>
      <c r="B788" s="107"/>
      <c r="C788" s="109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9"/>
      <c r="P788" s="9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ht="20.25" customHeight="1">
      <c r="A789" s="8"/>
      <c r="B789" s="107"/>
      <c r="C789" s="109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9"/>
      <c r="P789" s="9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ht="20.25" customHeight="1">
      <c r="A790" s="8"/>
      <c r="B790" s="107"/>
      <c r="C790" s="109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9"/>
      <c r="P790" s="9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ht="20.25" customHeight="1">
      <c r="A791" s="8"/>
      <c r="B791" s="107"/>
      <c r="C791" s="109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9"/>
      <c r="P791" s="9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ht="20.25" customHeight="1">
      <c r="A792" s="8"/>
      <c r="B792" s="107"/>
      <c r="C792" s="109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9"/>
      <c r="P792" s="9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ht="20.25" customHeight="1">
      <c r="A793" s="8"/>
      <c r="B793" s="107"/>
      <c r="C793" s="109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9"/>
      <c r="P793" s="9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ht="20.25" customHeight="1">
      <c r="A794" s="8"/>
      <c r="B794" s="107"/>
      <c r="C794" s="109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9"/>
      <c r="P794" s="9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ht="20.25" customHeight="1">
      <c r="A795" s="8"/>
      <c r="B795" s="107"/>
      <c r="C795" s="109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9"/>
      <c r="P795" s="9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ht="20.25" customHeight="1">
      <c r="A796" s="8"/>
      <c r="B796" s="107"/>
      <c r="C796" s="109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9"/>
      <c r="P796" s="9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ht="20.25" customHeight="1">
      <c r="A797" s="8"/>
      <c r="B797" s="107"/>
      <c r="C797" s="109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9"/>
      <c r="P797" s="9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ht="20.25" customHeight="1">
      <c r="A798" s="8"/>
      <c r="B798" s="107"/>
      <c r="C798" s="109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9"/>
      <c r="P798" s="9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ht="20.25" customHeight="1">
      <c r="A799" s="8"/>
      <c r="B799" s="107"/>
      <c r="C799" s="109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9"/>
      <c r="P799" s="9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ht="20.25" customHeight="1">
      <c r="A800" s="8"/>
      <c r="B800" s="107"/>
      <c r="C800" s="109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9"/>
      <c r="P800" s="9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ht="20.25" customHeight="1">
      <c r="A801" s="8"/>
      <c r="B801" s="107"/>
      <c r="C801" s="109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9"/>
      <c r="P801" s="9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ht="20.25" customHeight="1">
      <c r="A802" s="8"/>
      <c r="B802" s="107"/>
      <c r="C802" s="109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9"/>
      <c r="P802" s="9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ht="20.25" customHeight="1">
      <c r="A803" s="8"/>
      <c r="B803" s="107"/>
      <c r="C803" s="109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9"/>
      <c r="P803" s="9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ht="20.25" customHeight="1">
      <c r="A804" s="8"/>
      <c r="B804" s="107"/>
      <c r="C804" s="109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9"/>
      <c r="P804" s="9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ht="20.25" customHeight="1">
      <c r="A805" s="8"/>
      <c r="B805" s="107"/>
      <c r="C805" s="109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9"/>
      <c r="P805" s="9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ht="20.25" customHeight="1">
      <c r="A806" s="8"/>
      <c r="B806" s="107"/>
      <c r="C806" s="109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9"/>
      <c r="P806" s="9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ht="20.25" customHeight="1">
      <c r="A807" s="8"/>
      <c r="B807" s="107"/>
      <c r="C807" s="109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9"/>
      <c r="P807" s="9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ht="20.25" customHeight="1">
      <c r="A808" s="8"/>
      <c r="B808" s="107"/>
      <c r="C808" s="109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9"/>
      <c r="P808" s="9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ht="20.25" customHeight="1">
      <c r="A809" s="8"/>
      <c r="B809" s="107"/>
      <c r="C809" s="109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9"/>
      <c r="P809" s="9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ht="20.25" customHeight="1">
      <c r="A810" s="8"/>
      <c r="B810" s="107"/>
      <c r="C810" s="109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9"/>
      <c r="P810" s="9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ht="20.25" customHeight="1">
      <c r="A811" s="8"/>
      <c r="B811" s="107"/>
      <c r="C811" s="109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9"/>
      <c r="P811" s="9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ht="20.25" customHeight="1">
      <c r="A812" s="8"/>
      <c r="B812" s="107"/>
      <c r="C812" s="109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9"/>
      <c r="P812" s="9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ht="20.25" customHeight="1">
      <c r="A813" s="8"/>
      <c r="B813" s="107"/>
      <c r="C813" s="109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9"/>
      <c r="P813" s="9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ht="20.25" customHeight="1">
      <c r="A814" s="8"/>
      <c r="B814" s="107"/>
      <c r="C814" s="109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9"/>
      <c r="P814" s="9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ht="20.25" customHeight="1">
      <c r="A815" s="8"/>
      <c r="B815" s="107"/>
      <c r="C815" s="109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9"/>
      <c r="P815" s="9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ht="20.25" customHeight="1">
      <c r="A816" s="8"/>
      <c r="B816" s="107"/>
      <c r="C816" s="109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9"/>
      <c r="P816" s="9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ht="20.25" customHeight="1">
      <c r="A817" s="8"/>
      <c r="B817" s="107"/>
      <c r="C817" s="109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9"/>
      <c r="P817" s="9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ht="20.25" customHeight="1">
      <c r="A818" s="8"/>
      <c r="B818" s="107"/>
      <c r="C818" s="109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9"/>
      <c r="P818" s="9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ht="20.25" customHeight="1">
      <c r="A819" s="8"/>
      <c r="B819" s="107"/>
      <c r="C819" s="109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9"/>
      <c r="P819" s="9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ht="20.25" customHeight="1">
      <c r="A820" s="8"/>
      <c r="B820" s="107"/>
      <c r="C820" s="109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9"/>
      <c r="P820" s="9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ht="20.25" customHeight="1">
      <c r="A821" s="8"/>
      <c r="B821" s="107"/>
      <c r="C821" s="109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9"/>
      <c r="P821" s="9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ht="20.25" customHeight="1">
      <c r="A822" s="8"/>
      <c r="B822" s="107"/>
      <c r="C822" s="109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9"/>
      <c r="P822" s="9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ht="20.25" customHeight="1">
      <c r="A823" s="8"/>
      <c r="B823" s="107"/>
      <c r="C823" s="109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9"/>
      <c r="P823" s="9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ht="20.25" customHeight="1">
      <c r="A824" s="8"/>
      <c r="B824" s="107"/>
      <c r="C824" s="109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9"/>
      <c r="P824" s="9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ht="20.25" customHeight="1">
      <c r="A825" s="8"/>
      <c r="B825" s="107"/>
      <c r="C825" s="109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9"/>
      <c r="P825" s="9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ht="20.25" customHeight="1">
      <c r="A826" s="8"/>
      <c r="B826" s="107"/>
      <c r="C826" s="109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9"/>
      <c r="P826" s="9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ht="20.25" customHeight="1">
      <c r="A827" s="8"/>
      <c r="B827" s="107"/>
      <c r="C827" s="109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9"/>
      <c r="P827" s="9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ht="20.25" customHeight="1">
      <c r="A828" s="8"/>
      <c r="B828" s="107"/>
      <c r="C828" s="109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9"/>
      <c r="P828" s="9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ht="20.25" customHeight="1">
      <c r="A829" s="8"/>
      <c r="B829" s="107"/>
      <c r="C829" s="109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9"/>
      <c r="P829" s="9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ht="20.25" customHeight="1">
      <c r="A830" s="8"/>
      <c r="B830" s="107"/>
      <c r="C830" s="109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9"/>
      <c r="P830" s="9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ht="20.25" customHeight="1">
      <c r="A831" s="8"/>
      <c r="B831" s="107"/>
      <c r="C831" s="109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9"/>
      <c r="P831" s="9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ht="20.25" customHeight="1">
      <c r="A832" s="8"/>
      <c r="B832" s="107"/>
      <c r="C832" s="109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9"/>
      <c r="P832" s="9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ht="20.25" customHeight="1">
      <c r="A833" s="8"/>
      <c r="B833" s="107"/>
      <c r="C833" s="109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9"/>
      <c r="P833" s="9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ht="20.25" customHeight="1">
      <c r="A834" s="8"/>
      <c r="B834" s="107"/>
      <c r="C834" s="109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9"/>
      <c r="P834" s="9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ht="20.25" customHeight="1">
      <c r="A835" s="8"/>
      <c r="B835" s="107"/>
      <c r="C835" s="109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9"/>
      <c r="P835" s="9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ht="20.25" customHeight="1">
      <c r="A836" s="8"/>
      <c r="B836" s="107"/>
      <c r="C836" s="109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9"/>
      <c r="P836" s="9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ht="20.25" customHeight="1">
      <c r="A837" s="8"/>
      <c r="B837" s="107"/>
      <c r="C837" s="109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9"/>
      <c r="P837" s="9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ht="20.25" customHeight="1">
      <c r="A838" s="8"/>
      <c r="B838" s="107"/>
      <c r="C838" s="109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9"/>
      <c r="P838" s="9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ht="20.25" customHeight="1">
      <c r="A839" s="8"/>
      <c r="B839" s="107"/>
      <c r="C839" s="109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9"/>
      <c r="P839" s="9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ht="20.25" customHeight="1">
      <c r="A840" s="8"/>
      <c r="B840" s="107"/>
      <c r="C840" s="109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9"/>
      <c r="P840" s="9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ht="20.25" customHeight="1">
      <c r="A841" s="8"/>
      <c r="B841" s="107"/>
      <c r="C841" s="109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9"/>
      <c r="P841" s="9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ht="20.25" customHeight="1">
      <c r="A842" s="8"/>
      <c r="B842" s="107"/>
      <c r="C842" s="109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9"/>
      <c r="P842" s="9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ht="20.25" customHeight="1">
      <c r="A843" s="8"/>
      <c r="B843" s="107"/>
      <c r="C843" s="109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9"/>
      <c r="P843" s="9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ht="20.25" customHeight="1">
      <c r="A844" s="8"/>
      <c r="B844" s="107"/>
      <c r="C844" s="109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9"/>
      <c r="P844" s="9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ht="20.25" customHeight="1">
      <c r="A845" s="8"/>
      <c r="B845" s="107"/>
      <c r="C845" s="109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9"/>
      <c r="P845" s="9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ht="20.25" customHeight="1">
      <c r="A846" s="8"/>
      <c r="B846" s="107"/>
      <c r="C846" s="109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9"/>
      <c r="P846" s="9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ht="20.25" customHeight="1">
      <c r="A847" s="8"/>
      <c r="B847" s="107"/>
      <c r="C847" s="109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9"/>
      <c r="P847" s="9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ht="20.25" customHeight="1">
      <c r="A848" s="8"/>
      <c r="B848" s="107"/>
      <c r="C848" s="109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9"/>
      <c r="P848" s="9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ht="20.25" customHeight="1">
      <c r="A849" s="8"/>
      <c r="B849" s="107"/>
      <c r="C849" s="109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9"/>
      <c r="P849" s="9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ht="20.25" customHeight="1">
      <c r="A850" s="8"/>
      <c r="B850" s="107"/>
      <c r="C850" s="109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9"/>
      <c r="P850" s="9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ht="20.25" customHeight="1">
      <c r="A851" s="8"/>
      <c r="B851" s="107"/>
      <c r="C851" s="109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9"/>
      <c r="P851" s="9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ht="20.25" customHeight="1">
      <c r="A852" s="8"/>
      <c r="B852" s="107"/>
      <c r="C852" s="109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9"/>
      <c r="P852" s="9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ht="20.25" customHeight="1">
      <c r="A853" s="8"/>
      <c r="B853" s="107"/>
      <c r="C853" s="109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9"/>
      <c r="P853" s="9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ht="20.25" customHeight="1">
      <c r="A854" s="8"/>
      <c r="B854" s="107"/>
      <c r="C854" s="109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9"/>
      <c r="P854" s="9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ht="20.25" customHeight="1">
      <c r="A855" s="8"/>
      <c r="B855" s="107"/>
      <c r="C855" s="109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9"/>
      <c r="P855" s="9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ht="20.25" customHeight="1">
      <c r="A856" s="8"/>
      <c r="B856" s="107"/>
      <c r="C856" s="109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9"/>
      <c r="P856" s="9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ht="20.25" customHeight="1">
      <c r="A857" s="8"/>
      <c r="B857" s="107"/>
      <c r="C857" s="109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9"/>
      <c r="P857" s="9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ht="20.25" customHeight="1">
      <c r="A858" s="8"/>
      <c r="B858" s="107"/>
      <c r="C858" s="109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9"/>
      <c r="P858" s="9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ht="20.25" customHeight="1">
      <c r="A859" s="8"/>
      <c r="B859" s="107"/>
      <c r="C859" s="109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9"/>
      <c r="P859" s="9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ht="20.25" customHeight="1">
      <c r="A860" s="8"/>
      <c r="B860" s="107"/>
      <c r="C860" s="109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9"/>
      <c r="P860" s="9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ht="20.25" customHeight="1">
      <c r="A861" s="8"/>
      <c r="B861" s="107"/>
      <c r="C861" s="109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9"/>
      <c r="P861" s="9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ht="20.25" customHeight="1">
      <c r="A862" s="8"/>
      <c r="B862" s="107"/>
      <c r="C862" s="109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9"/>
      <c r="P862" s="9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ht="20.25" customHeight="1">
      <c r="A863" s="8"/>
      <c r="B863" s="107"/>
      <c r="C863" s="109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9"/>
      <c r="P863" s="9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ht="20.25" customHeight="1">
      <c r="A864" s="8"/>
      <c r="B864" s="107"/>
      <c r="C864" s="109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9"/>
      <c r="P864" s="9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ht="20.25" customHeight="1">
      <c r="A865" s="8"/>
      <c r="B865" s="107"/>
      <c r="C865" s="109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9"/>
      <c r="P865" s="9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ht="20.25" customHeight="1">
      <c r="A866" s="8"/>
      <c r="B866" s="107"/>
      <c r="C866" s="109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9"/>
      <c r="P866" s="9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ht="20.25" customHeight="1">
      <c r="A867" s="8"/>
      <c r="B867" s="107"/>
      <c r="C867" s="109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9"/>
      <c r="P867" s="9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ht="20.25" customHeight="1">
      <c r="A868" s="8"/>
      <c r="B868" s="107"/>
      <c r="C868" s="109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9"/>
      <c r="P868" s="9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ht="20.25" customHeight="1">
      <c r="A869" s="8"/>
      <c r="B869" s="107"/>
      <c r="C869" s="109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9"/>
      <c r="P869" s="9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ht="20.25" customHeight="1">
      <c r="A870" s="8"/>
      <c r="B870" s="107"/>
      <c r="C870" s="109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9"/>
      <c r="P870" s="9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ht="20.25" customHeight="1">
      <c r="A871" s="8"/>
      <c r="B871" s="107"/>
      <c r="C871" s="109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9"/>
      <c r="P871" s="9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ht="20.25" customHeight="1">
      <c r="A872" s="8"/>
      <c r="B872" s="107"/>
      <c r="C872" s="109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9"/>
      <c r="P872" s="9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ht="20.25" customHeight="1">
      <c r="A873" s="8"/>
      <c r="B873" s="107"/>
      <c r="C873" s="109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9"/>
      <c r="P873" s="9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ht="20.25" customHeight="1">
      <c r="A874" s="8"/>
      <c r="B874" s="107"/>
      <c r="C874" s="109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9"/>
      <c r="P874" s="9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ht="20.25" customHeight="1">
      <c r="A875" s="8"/>
      <c r="B875" s="107"/>
      <c r="C875" s="109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9"/>
      <c r="P875" s="9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ht="20.25" customHeight="1">
      <c r="A876" s="8"/>
      <c r="B876" s="107"/>
      <c r="C876" s="109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9"/>
      <c r="P876" s="9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ht="20.25" customHeight="1">
      <c r="A877" s="8"/>
      <c r="B877" s="107"/>
      <c r="C877" s="109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9"/>
      <c r="P877" s="9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ht="20.25" customHeight="1">
      <c r="A878" s="8"/>
      <c r="B878" s="107"/>
      <c r="C878" s="109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9"/>
      <c r="P878" s="9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ht="20.25" customHeight="1">
      <c r="A879" s="8"/>
      <c r="B879" s="107"/>
      <c r="C879" s="109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9"/>
      <c r="P879" s="9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ht="20.25" customHeight="1">
      <c r="A880" s="8"/>
      <c r="B880" s="107"/>
      <c r="C880" s="109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9"/>
      <c r="P880" s="9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ht="20.25" customHeight="1">
      <c r="A881" s="8"/>
      <c r="B881" s="107"/>
      <c r="C881" s="109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9"/>
      <c r="P881" s="9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ht="20.25" customHeight="1">
      <c r="A882" s="8"/>
      <c r="B882" s="107"/>
      <c r="C882" s="109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9"/>
      <c r="P882" s="9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ht="20.25" customHeight="1">
      <c r="A883" s="8"/>
      <c r="B883" s="107"/>
      <c r="C883" s="109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9"/>
      <c r="P883" s="9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ht="20.25" customHeight="1">
      <c r="A884" s="8"/>
      <c r="B884" s="107"/>
      <c r="C884" s="109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9"/>
      <c r="P884" s="9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ht="20.25" customHeight="1">
      <c r="A885" s="8"/>
      <c r="B885" s="107"/>
      <c r="C885" s="109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9"/>
      <c r="P885" s="9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ht="20.25" customHeight="1">
      <c r="A886" s="8"/>
      <c r="B886" s="107"/>
      <c r="C886" s="109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9"/>
      <c r="P886" s="9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ht="20.25" customHeight="1">
      <c r="A887" s="8"/>
      <c r="B887" s="107"/>
      <c r="C887" s="109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9"/>
      <c r="P887" s="9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ht="20.25" customHeight="1">
      <c r="A888" s="8"/>
      <c r="B888" s="107"/>
      <c r="C888" s="109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9"/>
      <c r="P888" s="9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ht="20.25" customHeight="1">
      <c r="A889" s="8"/>
      <c r="B889" s="107"/>
      <c r="C889" s="109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9"/>
      <c r="P889" s="9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ht="20.25" customHeight="1">
      <c r="A890" s="8"/>
      <c r="B890" s="107"/>
      <c r="C890" s="109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9"/>
      <c r="P890" s="9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ht="20.25" customHeight="1">
      <c r="A891" s="8"/>
      <c r="B891" s="107"/>
      <c r="C891" s="109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9"/>
      <c r="P891" s="9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ht="20.25" customHeight="1">
      <c r="A892" s="8"/>
      <c r="B892" s="107"/>
      <c r="C892" s="109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9"/>
      <c r="P892" s="9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ht="20.25" customHeight="1">
      <c r="A893" s="8"/>
      <c r="B893" s="107"/>
      <c r="C893" s="109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9"/>
      <c r="P893" s="9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ht="20.25" customHeight="1">
      <c r="A894" s="8"/>
      <c r="B894" s="107"/>
      <c r="C894" s="109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9"/>
      <c r="P894" s="9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ht="20.25" customHeight="1">
      <c r="A895" s="8"/>
      <c r="B895" s="107"/>
      <c r="C895" s="109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9"/>
      <c r="P895" s="9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ht="20.25" customHeight="1">
      <c r="A896" s="8"/>
      <c r="B896" s="107"/>
      <c r="C896" s="109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9"/>
      <c r="P896" s="9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ht="20.25" customHeight="1">
      <c r="A897" s="8"/>
      <c r="B897" s="107"/>
      <c r="C897" s="109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9"/>
      <c r="P897" s="9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ht="20.25" customHeight="1">
      <c r="A898" s="8"/>
      <c r="B898" s="107"/>
      <c r="C898" s="109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9"/>
      <c r="P898" s="9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ht="20.25" customHeight="1">
      <c r="A899" s="8"/>
      <c r="B899" s="107"/>
      <c r="C899" s="109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9"/>
      <c r="P899" s="9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ht="20.25" customHeight="1">
      <c r="A900" s="8"/>
      <c r="B900" s="107"/>
      <c r="C900" s="109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9"/>
      <c r="P900" s="9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ht="20.25" customHeight="1">
      <c r="A901" s="8"/>
      <c r="B901" s="107"/>
      <c r="C901" s="109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9"/>
      <c r="P901" s="9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ht="20.25" customHeight="1">
      <c r="A902" s="8"/>
      <c r="B902" s="107"/>
      <c r="C902" s="109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9"/>
      <c r="P902" s="9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ht="20.25" customHeight="1">
      <c r="A903" s="8"/>
      <c r="B903" s="107"/>
      <c r="C903" s="109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9"/>
      <c r="P903" s="9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ht="20.25" customHeight="1">
      <c r="A904" s="8"/>
      <c r="B904" s="107"/>
      <c r="C904" s="109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9"/>
      <c r="P904" s="9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ht="20.25" customHeight="1">
      <c r="A905" s="8"/>
      <c r="B905" s="107"/>
      <c r="C905" s="109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9"/>
      <c r="P905" s="9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ht="20.25" customHeight="1">
      <c r="A906" s="8"/>
      <c r="B906" s="107"/>
      <c r="C906" s="109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9"/>
      <c r="P906" s="9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ht="20.25" customHeight="1">
      <c r="A907" s="8"/>
      <c r="B907" s="107"/>
      <c r="C907" s="109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9"/>
      <c r="P907" s="9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ht="20.25" customHeight="1">
      <c r="A908" s="8"/>
      <c r="B908" s="107"/>
      <c r="C908" s="109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9"/>
      <c r="P908" s="9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ht="20.25" customHeight="1">
      <c r="A909" s="8"/>
      <c r="B909" s="107"/>
      <c r="C909" s="109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9"/>
      <c r="P909" s="9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ht="20.25" customHeight="1">
      <c r="A910" s="8"/>
      <c r="B910" s="107"/>
      <c r="C910" s="109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9"/>
      <c r="P910" s="9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ht="20.25" customHeight="1">
      <c r="A911" s="8"/>
      <c r="B911" s="107"/>
      <c r="C911" s="109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9"/>
      <c r="P911" s="9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ht="20.25" customHeight="1">
      <c r="A912" s="8"/>
      <c r="B912" s="107"/>
      <c r="C912" s="109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9"/>
      <c r="P912" s="9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ht="20.25" customHeight="1">
      <c r="A913" s="8"/>
      <c r="B913" s="107"/>
      <c r="C913" s="109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9"/>
      <c r="P913" s="9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ht="20.25" customHeight="1">
      <c r="A914" s="8"/>
      <c r="B914" s="107"/>
      <c r="C914" s="109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9"/>
      <c r="P914" s="9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ht="20.25" customHeight="1">
      <c r="A915" s="8"/>
      <c r="B915" s="107"/>
      <c r="C915" s="109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9"/>
      <c r="P915" s="9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ht="20.25" customHeight="1">
      <c r="A916" s="8"/>
      <c r="B916" s="107"/>
      <c r="C916" s="109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9"/>
      <c r="P916" s="9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ht="20.25" customHeight="1">
      <c r="A917" s="8"/>
      <c r="B917" s="107"/>
      <c r="C917" s="109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9"/>
      <c r="P917" s="9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ht="20.25" customHeight="1">
      <c r="A918" s="8"/>
      <c r="B918" s="107"/>
      <c r="C918" s="109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9"/>
      <c r="P918" s="9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ht="20.25" customHeight="1">
      <c r="A919" s="8"/>
      <c r="B919" s="107"/>
      <c r="C919" s="109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9"/>
      <c r="P919" s="9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ht="20.25" customHeight="1">
      <c r="A920" s="8"/>
      <c r="B920" s="107"/>
      <c r="C920" s="109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9"/>
      <c r="P920" s="9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ht="20.25" customHeight="1">
      <c r="A921" s="8"/>
      <c r="B921" s="107"/>
      <c r="C921" s="109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9"/>
      <c r="P921" s="9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ht="20.25" customHeight="1">
      <c r="A922" s="8"/>
      <c r="B922" s="107"/>
      <c r="C922" s="109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9"/>
      <c r="P922" s="9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ht="20.25" customHeight="1">
      <c r="A923" s="8"/>
      <c r="B923" s="107"/>
      <c r="C923" s="109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9"/>
      <c r="P923" s="9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ht="20.25" customHeight="1">
      <c r="A924" s="8"/>
      <c r="B924" s="107"/>
      <c r="C924" s="109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9"/>
      <c r="P924" s="9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ht="20.25" customHeight="1">
      <c r="A925" s="8"/>
      <c r="B925" s="107"/>
      <c r="C925" s="109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9"/>
      <c r="P925" s="9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ht="20.25" customHeight="1">
      <c r="A926" s="8"/>
      <c r="B926" s="107"/>
      <c r="C926" s="109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9"/>
      <c r="P926" s="9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ht="20.25" customHeight="1">
      <c r="A927" s="8"/>
      <c r="B927" s="107"/>
      <c r="C927" s="109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9"/>
      <c r="P927" s="9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ht="20.25" customHeight="1">
      <c r="A928" s="8"/>
      <c r="B928" s="107"/>
      <c r="C928" s="109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9"/>
      <c r="P928" s="9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ht="20.25" customHeight="1">
      <c r="A929" s="8"/>
      <c r="B929" s="107"/>
      <c r="C929" s="109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9"/>
      <c r="P929" s="9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ht="20.25" customHeight="1">
      <c r="A930" s="8"/>
      <c r="B930" s="107"/>
      <c r="C930" s="109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9"/>
      <c r="P930" s="9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ht="20.25" customHeight="1">
      <c r="A931" s="8"/>
      <c r="B931" s="107"/>
      <c r="C931" s="109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9"/>
      <c r="P931" s="9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ht="20.25" customHeight="1">
      <c r="A932" s="8"/>
      <c r="B932" s="107"/>
      <c r="C932" s="109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9"/>
      <c r="P932" s="9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ht="20.25" customHeight="1">
      <c r="A933" s="8"/>
      <c r="B933" s="107"/>
      <c r="C933" s="109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9"/>
      <c r="P933" s="9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ht="20.25" customHeight="1">
      <c r="A934" s="8"/>
      <c r="B934" s="107"/>
      <c r="C934" s="109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9"/>
      <c r="P934" s="9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ht="20.25" customHeight="1">
      <c r="A935" s="8"/>
      <c r="B935" s="107"/>
      <c r="C935" s="109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9"/>
      <c r="P935" s="9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ht="20.25" customHeight="1">
      <c r="A936" s="8"/>
      <c r="B936" s="107"/>
      <c r="C936" s="109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9"/>
      <c r="P936" s="9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ht="20.25" customHeight="1">
      <c r="A937" s="8"/>
      <c r="B937" s="107"/>
      <c r="C937" s="109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9"/>
      <c r="P937" s="9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ht="20.25" customHeight="1">
      <c r="A938" s="8"/>
      <c r="B938" s="107"/>
      <c r="C938" s="109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9"/>
      <c r="P938" s="9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ht="20.25" customHeight="1">
      <c r="A939" s="8"/>
      <c r="B939" s="107"/>
      <c r="C939" s="109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9"/>
      <c r="P939" s="9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ht="20.25" customHeight="1">
      <c r="A940" s="8"/>
      <c r="B940" s="107"/>
      <c r="C940" s="109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9"/>
      <c r="P940" s="9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ht="20.25" customHeight="1">
      <c r="A941" s="8"/>
      <c r="B941" s="107"/>
      <c r="C941" s="109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9"/>
      <c r="P941" s="9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ht="20.25" customHeight="1">
      <c r="A942" s="8"/>
      <c r="B942" s="107"/>
      <c r="C942" s="109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9"/>
      <c r="P942" s="9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ht="20.25" customHeight="1">
      <c r="A943" s="8"/>
      <c r="B943" s="107"/>
      <c r="C943" s="109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9"/>
      <c r="P943" s="9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ht="20.25" customHeight="1">
      <c r="A944" s="8"/>
      <c r="B944" s="107"/>
      <c r="C944" s="109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9"/>
      <c r="P944" s="9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ht="20.25" customHeight="1">
      <c r="A945" s="8"/>
      <c r="B945" s="107"/>
      <c r="C945" s="109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9"/>
      <c r="P945" s="9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ht="20.25" customHeight="1">
      <c r="A946" s="8"/>
      <c r="B946" s="107"/>
      <c r="C946" s="109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9"/>
      <c r="P946" s="9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ht="20.25" customHeight="1">
      <c r="A947" s="8"/>
      <c r="B947" s="107"/>
      <c r="C947" s="109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9"/>
      <c r="P947" s="9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ht="20.25" customHeight="1">
      <c r="A948" s="8"/>
      <c r="B948" s="107"/>
      <c r="C948" s="109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9"/>
      <c r="P948" s="9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ht="20.25" customHeight="1">
      <c r="A949" s="8"/>
      <c r="B949" s="107"/>
      <c r="C949" s="109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9"/>
      <c r="P949" s="9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ht="20.25" customHeight="1">
      <c r="A950" s="8"/>
      <c r="B950" s="107"/>
      <c r="C950" s="109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9"/>
      <c r="P950" s="9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ht="20.25" customHeight="1">
      <c r="A951" s="8"/>
      <c r="B951" s="107"/>
      <c r="C951" s="109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9"/>
      <c r="P951" s="9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ht="20.25" customHeight="1">
      <c r="A952" s="8"/>
      <c r="B952" s="107"/>
      <c r="C952" s="109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9"/>
      <c r="P952" s="9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ht="20.25" customHeight="1">
      <c r="A953" s="8"/>
      <c r="B953" s="107"/>
      <c r="C953" s="109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9"/>
      <c r="P953" s="9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ht="20.25" customHeight="1">
      <c r="A954" s="8"/>
      <c r="B954" s="107"/>
      <c r="C954" s="109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9"/>
      <c r="P954" s="9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ht="20.25" customHeight="1">
      <c r="A955" s="8"/>
      <c r="B955" s="107"/>
      <c r="C955" s="109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9"/>
      <c r="P955" s="9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ht="20.25" customHeight="1">
      <c r="A956" s="8"/>
      <c r="B956" s="107"/>
      <c r="C956" s="109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9"/>
      <c r="P956" s="9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ht="20.25" customHeight="1">
      <c r="A957" s="8"/>
      <c r="B957" s="107"/>
      <c r="C957" s="109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9"/>
      <c r="P957" s="9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ht="20.25" customHeight="1">
      <c r="A958" s="8"/>
      <c r="B958" s="107"/>
      <c r="C958" s="109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9"/>
      <c r="P958" s="9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ht="20.25" customHeight="1">
      <c r="A959" s="8"/>
      <c r="B959" s="107"/>
      <c r="C959" s="109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9"/>
      <c r="P959" s="9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ht="20.25" customHeight="1">
      <c r="A960" s="8"/>
      <c r="B960" s="107"/>
      <c r="C960" s="109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9"/>
      <c r="P960" s="9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ht="20.25" customHeight="1">
      <c r="A961" s="8"/>
      <c r="B961" s="107"/>
      <c r="C961" s="109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9"/>
      <c r="P961" s="9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ht="20.25" customHeight="1">
      <c r="A962" s="8"/>
      <c r="B962" s="107"/>
      <c r="C962" s="109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9"/>
      <c r="P962" s="9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ht="20.25" customHeight="1">
      <c r="A963" s="8"/>
      <c r="B963" s="107"/>
      <c r="C963" s="109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9"/>
      <c r="P963" s="9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ht="20.25" customHeight="1">
      <c r="A964" s="8"/>
      <c r="B964" s="107"/>
      <c r="C964" s="109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9"/>
      <c r="P964" s="9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ht="20.25" customHeight="1">
      <c r="A965" s="8"/>
      <c r="B965" s="107"/>
      <c r="C965" s="109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9"/>
      <c r="P965" s="9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ht="20.25" customHeight="1">
      <c r="A966" s="8"/>
      <c r="B966" s="107"/>
      <c r="C966" s="109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9"/>
      <c r="P966" s="9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ht="20.25" customHeight="1">
      <c r="A967" s="8"/>
      <c r="B967" s="107"/>
      <c r="C967" s="109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9"/>
      <c r="P967" s="9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ht="20.25" customHeight="1">
      <c r="A968" s="8"/>
      <c r="B968" s="107"/>
      <c r="C968" s="109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9"/>
      <c r="P968" s="9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ht="20.25" customHeight="1">
      <c r="A969" s="8"/>
      <c r="B969" s="107"/>
      <c r="C969" s="109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9"/>
      <c r="P969" s="9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ht="20.25" customHeight="1">
      <c r="A970" s="8"/>
      <c r="B970" s="107"/>
      <c r="C970" s="109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9"/>
      <c r="P970" s="9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ht="20.25" customHeight="1">
      <c r="A971" s="8"/>
      <c r="B971" s="107"/>
      <c r="C971" s="109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9"/>
      <c r="P971" s="9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20.25" customHeight="1">
      <c r="A972" s="8"/>
      <c r="B972" s="107"/>
      <c r="C972" s="109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9"/>
      <c r="P972" s="9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20.25" customHeight="1">
      <c r="A973" s="8"/>
      <c r="B973" s="107"/>
      <c r="C973" s="109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9"/>
      <c r="P973" s="9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ht="20.25" customHeight="1">
      <c r="A974" s="8"/>
      <c r="B974" s="107"/>
      <c r="C974" s="109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9"/>
      <c r="P974" s="9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ht="20.25" customHeight="1">
      <c r="A975" s="8"/>
      <c r="B975" s="107"/>
      <c r="C975" s="109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9"/>
      <c r="P975" s="9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ht="20.25" customHeight="1">
      <c r="A976" s="8"/>
      <c r="B976" s="107"/>
      <c r="C976" s="109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9"/>
      <c r="P976" s="9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ht="20.25" customHeight="1">
      <c r="A977" s="8"/>
      <c r="B977" s="107"/>
      <c r="C977" s="109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9"/>
      <c r="P977" s="9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ht="20.25" customHeight="1">
      <c r="A978" s="8"/>
      <c r="B978" s="107"/>
      <c r="C978" s="109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9"/>
      <c r="P978" s="9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ht="20.25" customHeight="1">
      <c r="A979" s="8"/>
      <c r="B979" s="107"/>
      <c r="C979" s="109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9"/>
      <c r="P979" s="9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1:28" ht="20.25" customHeight="1">
      <c r="A980" s="8"/>
      <c r="B980" s="107"/>
      <c r="C980" s="109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9"/>
      <c r="P980" s="9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1:28" ht="20.25" customHeight="1">
      <c r="A981" s="8"/>
      <c r="B981" s="107"/>
      <c r="C981" s="109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9"/>
      <c r="P981" s="9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1:28" ht="20.25" customHeight="1">
      <c r="A982" s="8"/>
      <c r="B982" s="107"/>
      <c r="C982" s="109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9"/>
      <c r="P982" s="9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spans="1:28" ht="20.25" customHeight="1">
      <c r="A983" s="8"/>
      <c r="B983" s="107"/>
      <c r="C983" s="109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9"/>
      <c r="P983" s="9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spans="1:28" ht="20.25" customHeight="1">
      <c r="A984" s="8"/>
      <c r="B984" s="107"/>
      <c r="C984" s="109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9"/>
      <c r="P984" s="9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spans="1:28" ht="20.25" customHeight="1">
      <c r="A985" s="8"/>
      <c r="B985" s="107"/>
      <c r="C985" s="109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9"/>
      <c r="P985" s="9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spans="1:28" ht="20.25" customHeight="1">
      <c r="A986" s="8"/>
      <c r="B986" s="107"/>
      <c r="C986" s="109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9"/>
      <c r="P986" s="9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spans="1:28" ht="20.25" customHeight="1">
      <c r="A987" s="8"/>
      <c r="B987" s="107"/>
      <c r="C987" s="109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9"/>
      <c r="P987" s="9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spans="1:28" ht="20.25" customHeight="1">
      <c r="A988" s="8"/>
      <c r="B988" s="107"/>
      <c r="C988" s="109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9"/>
      <c r="P988" s="9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spans="1:28" ht="20.25" customHeight="1">
      <c r="A989" s="8"/>
      <c r="B989" s="107"/>
      <c r="C989" s="109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9"/>
      <c r="P989" s="9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spans="1:28" ht="20.25" customHeight="1">
      <c r="A990" s="8"/>
      <c r="B990" s="107"/>
      <c r="C990" s="109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9"/>
      <c r="P990" s="9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spans="1:28" ht="20.25" customHeight="1">
      <c r="A991" s="8"/>
      <c r="B991" s="107"/>
      <c r="C991" s="109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9"/>
      <c r="P991" s="9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spans="1:28" ht="20.25" customHeight="1">
      <c r="A992" s="8"/>
      <c r="B992" s="107"/>
      <c r="C992" s="109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9"/>
      <c r="P992" s="9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spans="1:28" ht="20.25" customHeight="1">
      <c r="A993" s="8"/>
      <c r="B993" s="107"/>
      <c r="C993" s="109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9"/>
      <c r="P993" s="9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spans="1:28" ht="20.25" customHeight="1">
      <c r="A994" s="8"/>
      <c r="B994" s="107"/>
      <c r="C994" s="109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9"/>
      <c r="P994" s="9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spans="1:28" ht="20.25" customHeight="1">
      <c r="A995" s="8"/>
      <c r="B995" s="107"/>
      <c r="C995" s="109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9"/>
      <c r="P995" s="9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spans="1:28" ht="20.25" customHeight="1">
      <c r="A996" s="8"/>
      <c r="B996" s="107"/>
      <c r="C996" s="109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9"/>
      <c r="P996" s="9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spans="1:28" ht="20.25" customHeight="1">
      <c r="A997" s="8"/>
      <c r="B997" s="107"/>
      <c r="C997" s="109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9"/>
      <c r="P997" s="9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spans="1:28" ht="20.25" customHeight="1">
      <c r="A998" s="8"/>
      <c r="B998" s="107"/>
      <c r="C998" s="109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9"/>
      <c r="P998" s="9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spans="1:28" ht="20.25" customHeight="1">
      <c r="A999" s="8"/>
      <c r="B999" s="107"/>
      <c r="C999" s="109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9"/>
      <c r="P999" s="9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spans="1:28" ht="20.25" customHeight="1">
      <c r="A1000" s="8"/>
      <c r="B1000" s="107"/>
      <c r="C1000" s="109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9"/>
      <c r="P1000" s="9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</sheetData>
  <mergeCells count="12">
    <mergeCell ref="B32:N32"/>
    <mergeCell ref="B33:N33"/>
    <mergeCell ref="B47:N47"/>
    <mergeCell ref="B48:N48"/>
    <mergeCell ref="B49:N49"/>
    <mergeCell ref="B30:N30"/>
    <mergeCell ref="B31:N31"/>
    <mergeCell ref="B1:N4"/>
    <mergeCell ref="F8:G8"/>
    <mergeCell ref="F9:G9"/>
    <mergeCell ref="G19:I19"/>
    <mergeCell ref="B22:N22"/>
  </mergeCells>
  <dataValidations count="11">
    <dataValidation type="list" allowBlank="1" showErrorMessage="1" sqref="J10 L10 G14:G15 C10:C16 L19:L20 L24:L25" xr:uid="{00000000-0002-0000-0100-000000000000}">
      <formula1>"YES,NO"</formula1>
    </dataValidation>
    <dataValidation type="list" allowBlank="1" showErrorMessage="1" sqref="B11" xr:uid="{00000000-0002-0000-0100-000001000000}">
      <formula1>"FO Ceramic+ Intr&amp;Extr CeramicGold WdwTnt,FO Mirror Camera Sensor"</formula1>
    </dataValidation>
    <dataValidation type="list" allowBlank="1" showErrorMessage="1" sqref="K24" xr:uid="{00000000-0002-0000-0100-000002000000}">
      <formula1>"RMC-10-70K,RMC-10-100000K,RMC-40-70K"</formula1>
    </dataValidation>
    <dataValidation type="list" allowBlank="1" showErrorMessage="1" sqref="M34" xr:uid="{00000000-0002-0000-0100-000003000000}">
      <formula1>"Alaa,Bachir,Khaled,Ramy,Simon,Mharen,Ranjith,Jihan,Praveen,Sujith,Mossallem"</formula1>
    </dataValidation>
    <dataValidation type="list" allowBlank="1" showErrorMessage="1" sqref="B12" xr:uid="{00000000-0002-0000-0100-000004000000}">
      <formula1>"FO Exterior ceramic All Cars SCOTCHGUARD,FO Mirror Camera Sensor,FO PPF Gold Package"</formula1>
    </dataValidation>
    <dataValidation type="list" allowBlank="1" showErrorMessage="1" sqref="K20" xr:uid="{00000000-0002-0000-0100-000005000000}">
      <formula1>"Esaad,Emirates Platinum,Fazaa,Humat Alwatan,Permissible,ASX,XPMLP,XP,MON,MON G57,OUT,F08,P08,F06,P06,F03,P03,EC,G37,G38,G40,G43"</formula1>
    </dataValidation>
    <dataValidation type="list" allowBlank="1" showErrorMessage="1" sqref="K21" xr:uid="{00000000-0002-0000-0100-000006000000}">
      <formula1>"ADCB,ADCB PAY IN 2027,Ajman Bank,ADIB,DIB EXPAT,DIB LOCAL GVH,Emirates NBD,EIB,FAB,RAK,SIB STL,SIB NON STL"</formula1>
    </dataValidation>
    <dataValidation type="list" allowBlank="1" showErrorMessage="1" sqref="D5" xr:uid="{00000000-0002-0000-0100-000007000000}">
      <formula1>"MIG09,MIG10,ATG16,ATP16,ATG17,ASG48,ASG43,ASG40,ASG42,ASG44,ASG45,ECG38,ECG37,ECG40,ECG43,XPML,XPHL,XPMLP,XPMLP-01,XC,OTF03,OTP03,OTF06,OTP06,OTP06-01,OTF08,OTP08,MOP57,MOG64,MOG59,MOG59P,MOG61,MOP61"</formula1>
    </dataValidation>
    <dataValidation type="list" allowBlank="1" showErrorMessage="1" sqref="B16" xr:uid="{00000000-0002-0000-0100-000008000000}">
      <formula1>"RMC-10-40KMS,RMC-10-60KMS,RMC-10-70KMS,RMC-10-100000KMS,RMC-40-70KMS,RMC-40-100000KMS"</formula1>
    </dataValidation>
    <dataValidation type="list" allowBlank="1" showErrorMessage="1" sqref="H34" xr:uid="{00000000-0002-0000-0100-000009000000}">
      <formula1>"ALAA HAMMAD,KHALED QASSEM,RAMY RAOUF,SIMON LOBO,MHAREN CLEMENTE GARADO"</formula1>
    </dataValidation>
    <dataValidation type="list" allowBlank="1" showErrorMessage="1" sqref="M21" xr:uid="{00000000-0002-0000-0100-00000A000000}">
      <formula1>"3000-4999,5000-9999,10000-14999,15000-24999,25000-34999,35000-99999,5000-11999,12000-19999,20000-39999,40000-69999,70000-99999"</formula1>
    </dataValidation>
  </dataValidations>
  <pageMargins left="0.23622047244094491" right="0.23622047244094491" top="0.74803149606299213" bottom="0.74803149606299213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1000"/>
  <sheetViews>
    <sheetView topLeftCell="B1" workbookViewId="0"/>
  </sheetViews>
  <sheetFormatPr defaultColWidth="12.5703125" defaultRowHeight="15" customHeight="1"/>
  <cols>
    <col min="1" max="1" width="16" hidden="1" customWidth="1"/>
    <col min="2" max="2" width="75.140625" customWidth="1"/>
    <col min="3" max="3" width="26.85546875" customWidth="1"/>
    <col min="4" max="4" width="23.85546875" customWidth="1"/>
    <col min="5" max="5" width="23.42578125" customWidth="1"/>
    <col min="6" max="6" width="19.85546875" customWidth="1"/>
    <col min="7" max="7" width="23.42578125" customWidth="1"/>
    <col min="8" max="8" width="24.42578125" customWidth="1"/>
    <col min="9" max="9" width="27.140625" customWidth="1"/>
    <col min="10" max="10" width="26.5703125" customWidth="1"/>
    <col min="11" max="11" width="25.42578125" customWidth="1"/>
    <col min="12" max="12" width="20.42578125" customWidth="1"/>
    <col min="13" max="13" width="20.140625" customWidth="1"/>
    <col min="14" max="14" width="19.42578125" customWidth="1"/>
    <col min="15" max="15" width="15.140625" customWidth="1"/>
    <col min="16" max="17" width="12.5703125" hidden="1" customWidth="1"/>
    <col min="18" max="18" width="15.5703125" hidden="1" customWidth="1"/>
    <col min="19" max="19" width="13" hidden="1" customWidth="1"/>
    <col min="20" max="20" width="17.140625" hidden="1" customWidth="1"/>
    <col min="21" max="21" width="14.42578125" customWidth="1"/>
    <col min="22" max="22" width="19" customWidth="1"/>
    <col min="23" max="23" width="22.42578125" customWidth="1"/>
    <col min="24" max="25" width="9.140625" customWidth="1"/>
    <col min="26" max="26" width="14" customWidth="1"/>
    <col min="27" max="27" width="22.42578125" customWidth="1"/>
  </cols>
  <sheetData>
    <row r="1" spans="1:27" ht="15.75" customHeight="1">
      <c r="A1" s="8"/>
      <c r="B1" s="110" t="s">
        <v>195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2"/>
      <c r="O1" s="107"/>
      <c r="P1" s="107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5.75" customHeight="1">
      <c r="A2" s="8"/>
      <c r="B2" s="113" t="s">
        <v>196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5"/>
      <c r="O2" s="107"/>
      <c r="P2" s="107"/>
      <c r="Q2" s="107"/>
      <c r="R2" s="8"/>
      <c r="S2" s="116"/>
      <c r="T2" s="8"/>
      <c r="U2" s="8"/>
      <c r="V2" s="8"/>
      <c r="W2" s="8"/>
      <c r="X2" s="8"/>
      <c r="Y2" s="8"/>
      <c r="Z2" s="8"/>
      <c r="AA2" s="8"/>
    </row>
    <row r="3" spans="1:27" ht="15.75" customHeight="1">
      <c r="A3" s="8"/>
      <c r="B3" s="113" t="s">
        <v>197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5"/>
      <c r="O3" s="109"/>
      <c r="P3" s="109"/>
      <c r="Q3" s="117"/>
      <c r="R3" s="117"/>
      <c r="S3" s="118" t="e">
        <f>N7+J14</f>
        <v>#VALUE!</v>
      </c>
      <c r="T3" s="118"/>
      <c r="U3" s="117"/>
      <c r="V3" s="117"/>
      <c r="W3" s="117"/>
      <c r="X3" s="8"/>
      <c r="Y3" s="8"/>
      <c r="Z3" s="8"/>
      <c r="AA3" s="8">
        <f>273000/5</f>
        <v>54600</v>
      </c>
    </row>
    <row r="4" spans="1:27" ht="15.75" customHeight="1">
      <c r="A4" s="8"/>
      <c r="B4" s="119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1"/>
      <c r="O4" s="122" t="s">
        <v>108</v>
      </c>
      <c r="P4" s="122"/>
      <c r="Q4" s="123"/>
      <c r="R4" s="123"/>
      <c r="S4" s="124"/>
      <c r="T4" s="124"/>
      <c r="U4" s="123" t="s">
        <v>109</v>
      </c>
      <c r="V4" s="123" t="s">
        <v>110</v>
      </c>
      <c r="W4" s="123" t="s">
        <v>111</v>
      </c>
      <c r="X4" s="8"/>
      <c r="Y4" s="8"/>
      <c r="Z4" s="8"/>
      <c r="AA4" s="8"/>
    </row>
    <row r="5" spans="1:27" ht="25.5">
      <c r="A5" s="8"/>
      <c r="B5" s="18"/>
      <c r="C5" s="19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P61</v>
      </c>
      <c r="D5" s="20" t="s">
        <v>198</v>
      </c>
      <c r="E5" s="21" t="s">
        <v>199</v>
      </c>
      <c r="F5" s="47"/>
      <c r="G5" s="47"/>
      <c r="H5" s="47"/>
      <c r="I5" s="21"/>
      <c r="J5" s="42"/>
      <c r="K5" s="125">
        <v>0</v>
      </c>
      <c r="L5" s="126">
        <v>3.39E-2</v>
      </c>
      <c r="M5" s="126">
        <v>6.7799999999999999E-2</v>
      </c>
      <c r="N5" s="126">
        <v>0.1017</v>
      </c>
      <c r="O5" s="127">
        <f>K7+K14</f>
        <v>17085.852844375</v>
      </c>
      <c r="P5" s="107"/>
      <c r="Q5" s="8"/>
      <c r="R5" s="8"/>
      <c r="S5" s="116"/>
      <c r="T5" s="8"/>
      <c r="U5" s="116">
        <f t="shared" ref="U5:W5" si="0">L7+L14</f>
        <v>7012.2607038020833</v>
      </c>
      <c r="V5" s="116">
        <f t="shared" si="0"/>
        <v>4718.8171069375003</v>
      </c>
      <c r="W5" s="116">
        <f t="shared" si="0"/>
        <v>3295.9251204687503</v>
      </c>
      <c r="X5" s="8"/>
      <c r="Y5" s="8"/>
      <c r="Z5" s="8"/>
      <c r="AA5" s="8"/>
    </row>
    <row r="6" spans="1:27" ht="102">
      <c r="A6" s="28" t="s">
        <v>114</v>
      </c>
      <c r="B6" s="29" t="s">
        <v>115</v>
      </c>
      <c r="C6" s="30" t="s">
        <v>116</v>
      </c>
      <c r="D6" s="30" t="s">
        <v>200</v>
      </c>
      <c r="E6" s="30" t="s">
        <v>118</v>
      </c>
      <c r="F6" s="30" t="s">
        <v>119</v>
      </c>
      <c r="G6" s="30" t="s">
        <v>120</v>
      </c>
      <c r="H6" s="30" t="s">
        <v>201</v>
      </c>
      <c r="I6" s="30" t="s">
        <v>122</v>
      </c>
      <c r="J6" s="30" t="s">
        <v>202</v>
      </c>
      <c r="K6" s="30" t="s">
        <v>124</v>
      </c>
      <c r="L6" s="30" t="s">
        <v>125</v>
      </c>
      <c r="M6" s="30" t="s">
        <v>126</v>
      </c>
      <c r="N6" s="30" t="s">
        <v>127</v>
      </c>
      <c r="O6" s="128"/>
      <c r="P6" s="129"/>
      <c r="Q6" s="130"/>
      <c r="R6" s="130"/>
      <c r="S6" s="130"/>
      <c r="T6" s="131"/>
      <c r="U6" s="131">
        <f>N7+L14</f>
        <v>5525.7264704687504</v>
      </c>
      <c r="V6" s="131">
        <f>N7+K14</f>
        <v>13741.150819375001</v>
      </c>
      <c r="W6" s="131" t="e">
        <f>N7+J14</f>
        <v>#VALUE!</v>
      </c>
      <c r="X6" s="130"/>
      <c r="Y6" s="130"/>
      <c r="Z6" s="130"/>
      <c r="AA6" s="130"/>
    </row>
    <row r="7" spans="1:27" ht="25.5">
      <c r="A7" s="35">
        <f>B8</f>
        <v>138900</v>
      </c>
      <c r="B7" s="36">
        <f>IF(L20="YES",C8*1,IF(L20="NO",B8*1))</f>
        <v>138900</v>
      </c>
      <c r="C7" s="36">
        <f>B7*5/100</f>
        <v>6945</v>
      </c>
      <c r="D7" s="132">
        <f>B7+C7</f>
        <v>145845</v>
      </c>
      <c r="E7" s="36">
        <f>D17</f>
        <v>20860.10125</v>
      </c>
      <c r="F7" s="36">
        <f>(C7)+(D10+D11+D12+D13+D16)*5/100</f>
        <v>7475</v>
      </c>
      <c r="G7" s="36">
        <f>B7+E7+F7</f>
        <v>167235.10125000001</v>
      </c>
      <c r="H7" s="36">
        <f>G7*D20</f>
        <v>33447.020250000001</v>
      </c>
      <c r="I7" s="36">
        <f>(G7-H7)</f>
        <v>133788.08100000001</v>
      </c>
      <c r="J7" s="36">
        <f>(((I7*D19)*1)+I7)/12</f>
        <v>11511.349469375002</v>
      </c>
      <c r="K7" s="36">
        <f>(((I7*D19)*2)+I7)/24</f>
        <v>5936.8460943750006</v>
      </c>
      <c r="L7" s="36">
        <f>(((I7*D19)*3)+I7)/36</f>
        <v>4078.6783027083334</v>
      </c>
      <c r="M7" s="36">
        <f>(((I7*D19)*4)+I7)/48</f>
        <v>3149.594406875</v>
      </c>
      <c r="N7" s="36">
        <f>((((I7*D19)*5)+I7)/60)</f>
        <v>2592.1440693750001</v>
      </c>
      <c r="O7" s="127"/>
      <c r="P7" s="107">
        <f>H7+H16</f>
        <v>34851.7951005</v>
      </c>
      <c r="Q7" s="8"/>
      <c r="R7" s="8"/>
      <c r="S7" s="8"/>
      <c r="T7" s="116">
        <f>25973/2</f>
        <v>12986.5</v>
      </c>
      <c r="U7" s="8"/>
      <c r="V7" s="8"/>
      <c r="W7" s="8"/>
      <c r="X7" s="8"/>
      <c r="Y7" s="8"/>
      <c r="Z7" s="8"/>
      <c r="AA7" s="8"/>
    </row>
    <row r="8" spans="1:27" ht="25.5">
      <c r="A8" s="37">
        <v>0.2</v>
      </c>
      <c r="B8" s="38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138900</v>
      </c>
      <c r="C8" s="39">
        <f>IF(L20="YES",N20,IF(L20="NO",N20))</f>
        <v>138900</v>
      </c>
      <c r="D8" s="36">
        <v>0</v>
      </c>
      <c r="E8" s="40"/>
      <c r="F8" s="194"/>
      <c r="G8" s="183"/>
      <c r="H8" s="41">
        <f>G7*20/100</f>
        <v>33447.020250000001</v>
      </c>
      <c r="I8" s="42"/>
      <c r="J8" s="42" t="s">
        <v>128</v>
      </c>
      <c r="K8" s="42">
        <f>(I7*K5+I7)/24</f>
        <v>5574.5033750000002</v>
      </c>
      <c r="L8" s="42">
        <f>(I7*L5+I7)/36</f>
        <v>3842.3193596083333</v>
      </c>
      <c r="M8" s="42">
        <f>(I7*M5+I7)/48</f>
        <v>2976.2273519124997</v>
      </c>
      <c r="N8" s="42">
        <f>(I7*N5+I7)/60</f>
        <v>2456.5721472950004</v>
      </c>
      <c r="O8" s="127">
        <v>0</v>
      </c>
      <c r="P8" s="107">
        <f>P7/12</f>
        <v>2904.316258375</v>
      </c>
      <c r="Q8" s="8"/>
      <c r="R8" s="8"/>
      <c r="S8" s="8"/>
      <c r="T8" s="8">
        <f>25973-12973</f>
        <v>13000</v>
      </c>
      <c r="U8" s="8"/>
      <c r="V8" s="8"/>
      <c r="W8" s="8"/>
      <c r="X8" s="8"/>
      <c r="Y8" s="8"/>
      <c r="Z8" s="8"/>
      <c r="AA8" s="8"/>
    </row>
    <row r="9" spans="1:27" ht="25.5">
      <c r="A9" s="43">
        <f>B8/(100%-A8)</f>
        <v>173625</v>
      </c>
      <c r="B9" s="44">
        <f>B7-B8</f>
        <v>0</v>
      </c>
      <c r="C9" s="44"/>
      <c r="D9" s="46"/>
      <c r="E9" s="40"/>
      <c r="F9" s="194"/>
      <c r="G9" s="183"/>
      <c r="H9" s="40"/>
      <c r="I9" s="47" t="s">
        <v>129</v>
      </c>
      <c r="J9" s="48">
        <f>(J7*12)-I7</f>
        <v>4348.1126325000077</v>
      </c>
      <c r="K9" s="48">
        <f>(K7*24)-I7</f>
        <v>8696.2252650000155</v>
      </c>
      <c r="L9" s="48">
        <f>(L7*36)-I7</f>
        <v>13044.337897499994</v>
      </c>
      <c r="M9" s="48">
        <f>(M7*48)-I7</f>
        <v>17392.450530000002</v>
      </c>
      <c r="N9" s="48">
        <f>(N7*60)-I7</f>
        <v>21740.56316250001</v>
      </c>
      <c r="O9" s="127"/>
      <c r="P9" s="107"/>
      <c r="Q9" s="8"/>
      <c r="R9" s="8"/>
      <c r="S9" s="8"/>
      <c r="T9" s="8">
        <f>T8/12</f>
        <v>1083.3333333333333</v>
      </c>
      <c r="U9" s="8"/>
      <c r="V9" s="8"/>
      <c r="W9" s="8"/>
      <c r="X9" s="8"/>
      <c r="Y9" s="8"/>
      <c r="Z9" s="8" t="s">
        <v>130</v>
      </c>
      <c r="AA9" s="8"/>
    </row>
    <row r="10" spans="1:27" ht="25.5">
      <c r="A10" s="43"/>
      <c r="B10" s="47" t="s">
        <v>203</v>
      </c>
      <c r="C10" s="21" t="s">
        <v>132</v>
      </c>
      <c r="D10" s="46">
        <f>IF(C10="YES",700,IF(C10="NO",0))</f>
        <v>0</v>
      </c>
      <c r="E10" s="49"/>
      <c r="F10" s="50"/>
      <c r="G10" s="50"/>
      <c r="H10" s="40"/>
      <c r="I10" s="51" t="s">
        <v>133</v>
      </c>
      <c r="J10" s="52" t="s">
        <v>134</v>
      </c>
      <c r="K10" s="52">
        <f>IF(J10="YES",Z10,IF(J10="NO",0))</f>
        <v>1000</v>
      </c>
      <c r="L10" s="53">
        <f>(L8*36)-I7</f>
        <v>4535.4159458999929</v>
      </c>
      <c r="M10" s="53">
        <f>(M8*48)-I7</f>
        <v>9070.8318917999859</v>
      </c>
      <c r="N10" s="53">
        <f>(N8*60)-I7</f>
        <v>13606.247837700008</v>
      </c>
      <c r="O10" s="127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5068.1531249999998</v>
      </c>
      <c r="P10" s="116"/>
      <c r="Q10" s="116">
        <f>5.25*3</f>
        <v>15.75</v>
      </c>
      <c r="R10" s="8"/>
      <c r="S10" s="8"/>
      <c r="T10" s="8"/>
      <c r="U10" s="8"/>
      <c r="V10" s="8"/>
      <c r="W10" s="8"/>
      <c r="X10" s="8"/>
      <c r="Y10" s="8"/>
      <c r="Z10" s="8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  <c r="AA10" s="8"/>
    </row>
    <row r="11" spans="1:27" ht="25.5">
      <c r="A11" s="43"/>
      <c r="B11" s="47" t="s">
        <v>135</v>
      </c>
      <c r="C11" s="21" t="s">
        <v>134</v>
      </c>
      <c r="D11" s="132">
        <f>IF(C11="YES",O17,IF(C11="NO",0))</f>
        <v>2700</v>
      </c>
      <c r="E11" s="49"/>
      <c r="F11" s="50"/>
      <c r="G11" s="50"/>
      <c r="H11" s="40"/>
      <c r="I11" s="40"/>
      <c r="J11" s="51" t="s">
        <v>136</v>
      </c>
      <c r="K11" s="51">
        <f>H8-K10</f>
        <v>32447.020250000001</v>
      </c>
      <c r="L11" s="47"/>
      <c r="M11" s="47"/>
      <c r="N11" s="48"/>
      <c r="O11" s="127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27"/>
      <c r="Q11" s="127"/>
      <c r="R11" s="127"/>
      <c r="S11" s="127"/>
      <c r="T11" s="127"/>
      <c r="U11" s="127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27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27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27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4300</v>
      </c>
      <c r="Y11" s="127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  <c r="Z11" s="8"/>
      <c r="AA11" s="8"/>
    </row>
    <row r="12" spans="1:27" ht="25.5">
      <c r="A12" s="43"/>
      <c r="B12" s="47" t="s">
        <v>137</v>
      </c>
      <c r="C12" s="21" t="s">
        <v>132</v>
      </c>
      <c r="D12" s="46">
        <f t="shared" ref="D12:D13" si="1">IF(C12="YES",2000,IF(C12="NO",0))</f>
        <v>0</v>
      </c>
      <c r="E12" s="55"/>
      <c r="F12" s="55" t="s">
        <v>138</v>
      </c>
      <c r="G12" s="50"/>
      <c r="H12" s="40">
        <v>600</v>
      </c>
      <c r="I12" s="40"/>
      <c r="J12" s="133" t="s">
        <v>204</v>
      </c>
      <c r="K12" s="56">
        <v>0</v>
      </c>
      <c r="L12" s="56">
        <v>5.2499999999999998E-2</v>
      </c>
      <c r="M12" s="56">
        <v>0.126</v>
      </c>
      <c r="N12" s="134">
        <v>0.26250000000000001</v>
      </c>
      <c r="O12" s="127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P12" s="107"/>
      <c r="Q12" s="8"/>
      <c r="R12" s="8"/>
      <c r="S12" s="8"/>
      <c r="T12" s="8"/>
      <c r="U12" s="8"/>
      <c r="V12" s="8"/>
      <c r="W12" s="8"/>
      <c r="X12" s="8"/>
      <c r="Y12" s="8"/>
      <c r="Z12" s="10" t="s">
        <v>140</v>
      </c>
      <c r="AA12" s="10" t="s">
        <v>141</v>
      </c>
    </row>
    <row r="13" spans="1:27" ht="25.5">
      <c r="A13" s="43">
        <f>B8*1.26582</f>
        <v>175822.39799999999</v>
      </c>
      <c r="B13" s="47" t="s">
        <v>142</v>
      </c>
      <c r="C13" s="21" t="s">
        <v>134</v>
      </c>
      <c r="D13" s="46">
        <f t="shared" si="1"/>
        <v>2000</v>
      </c>
      <c r="E13" s="58"/>
      <c r="F13" s="58" t="s">
        <v>143</v>
      </c>
      <c r="G13" s="65"/>
      <c r="H13" s="49">
        <v>315</v>
      </c>
      <c r="I13" s="40"/>
      <c r="J13" s="51" t="s">
        <v>144</v>
      </c>
      <c r="K13" s="36" t="s">
        <v>145</v>
      </c>
      <c r="L13" s="36" t="s">
        <v>146</v>
      </c>
      <c r="M13" s="36" t="s">
        <v>108</v>
      </c>
      <c r="N13" s="72" t="s">
        <v>147</v>
      </c>
      <c r="O13" s="61">
        <f>IF(M21="3000-4999",6%,IF(M21="5000-9999",4.75%,IF(M21="10000-14999",3.15%,IF(M21="15000-24999",2.5%,IF(M21="25000-34999",2.25%,IF(M21="35000-99999",2.15%))))))</f>
        <v>4.7500000000000001E-2</v>
      </c>
      <c r="P13" s="107"/>
      <c r="Q13" s="107">
        <f>H7/12</f>
        <v>2787.2516875000001</v>
      </c>
      <c r="R13" s="8"/>
      <c r="S13" s="8"/>
      <c r="T13" s="8"/>
      <c r="U13" s="61">
        <f>IF(M21="3000-4999",6%,IF(M21="5000-9999",3.25%,IF(M21="10000-14999",3%,IF(M21="15000-24999",2.25%,IF(M21="25000-34999",2.15%,IF(M21="35000-99999",1.99%))))))</f>
        <v>3.2500000000000001E-2</v>
      </c>
      <c r="V13" s="8"/>
      <c r="W13" s="8"/>
      <c r="X13" s="8"/>
      <c r="Y13" s="8"/>
      <c r="Z13" s="62">
        <f>IF(M21="5000-9999",2.49%,IF(M21="10000-19999",2.19%,IF(M21="20000-34999",2.09%,IF(M21="35000-49999",1.89%,IF(M21="50000-99999",1.79%)))))</f>
        <v>2.4900000000000002E-2</v>
      </c>
      <c r="AA13" s="62">
        <f>IF(M21="5000-9999",2.59%,IF(M21="10000-19999",2.29%,IF(M21="20000-34999",2.19%,IF(M21="35000-49999",1.99%,IF(M21="50000-99999",1.89%)))))</f>
        <v>2.5899999999999999E-2</v>
      </c>
    </row>
    <row r="14" spans="1:27" ht="25.5">
      <c r="A14" s="63" t="s">
        <v>148</v>
      </c>
      <c r="B14" s="47" t="s">
        <v>149</v>
      </c>
      <c r="C14" s="21" t="s">
        <v>134</v>
      </c>
      <c r="D14" s="36">
        <f>IF(C14="YES",U19*3.15*1.05/100,IF(C14="NO",U19*0/100))</f>
        <v>5191.9481249999999</v>
      </c>
      <c r="E14" s="64"/>
      <c r="F14" s="64" t="s">
        <v>149</v>
      </c>
      <c r="G14" s="65" t="s">
        <v>132</v>
      </c>
      <c r="H14" s="49">
        <f>IF(G14="YES",U19*3.15*1.05/100,IF(G14="NO",U19*0/100))</f>
        <v>0</v>
      </c>
      <c r="I14" s="40"/>
      <c r="J14" s="51" t="s">
        <v>150</v>
      </c>
      <c r="K14" s="51">
        <f>(H8*K12+H8)/3</f>
        <v>11149.00675</v>
      </c>
      <c r="L14" s="51">
        <f>(H8*L12+H8)/12</f>
        <v>2933.5824010937504</v>
      </c>
      <c r="M14" s="51">
        <f>(H8*M12+H8)/24</f>
        <v>1569.2227000625001</v>
      </c>
      <c r="N14" s="135">
        <f>(H7*N12+H7)/60</f>
        <v>703.78105109375008</v>
      </c>
      <c r="O14" s="61">
        <f>IF(M21="3000-4999",3.89%,IF(M21="5000-9999",3.89%,IF(M21="10000-14999",3.89%,IF(M21="15000-24999",2.69%,IF(M21="25000-34999",2.69%,IF(M21="35000-99999",2.39%,IF(M21="76000-99999",2.5%)))))))</f>
        <v>3.8900000000000004E-2</v>
      </c>
      <c r="P14" s="107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25.5">
      <c r="A15" s="67">
        <f>(B7*3%)+10+120</f>
        <v>4297</v>
      </c>
      <c r="B15" s="47" t="s">
        <v>151</v>
      </c>
      <c r="C15" s="21" t="s">
        <v>134</v>
      </c>
      <c r="D15" s="36">
        <f>IF(C15="YES",O10,IF(C15="NO",0))</f>
        <v>5068.1531249999998</v>
      </c>
      <c r="E15" s="64"/>
      <c r="F15" s="64" t="s">
        <v>152</v>
      </c>
      <c r="G15" s="65" t="s">
        <v>132</v>
      </c>
      <c r="H15" s="49">
        <f>IF(G15="YES",O10,IF(G15="NO",0))</f>
        <v>0</v>
      </c>
      <c r="I15" s="40"/>
      <c r="J15" s="51"/>
      <c r="K15" s="51"/>
      <c r="L15" s="51"/>
      <c r="M15" s="51"/>
      <c r="N15" s="136"/>
      <c r="O15" s="61" t="b">
        <f>IF(M21="3000-4999",4.99%, IF(M21="5000-11999",2.75%,IF(M21="12000-19999",2.75%,IF(M21="20000-39999",2.25%,IF(M21="40000-69999",2.25%,IF(M21="70000-99999",2.25%))))))</f>
        <v>0</v>
      </c>
      <c r="P15" s="137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25.5">
      <c r="A16" s="67">
        <f>((B7-B8)*3%+10+120)</f>
        <v>130</v>
      </c>
      <c r="B16" s="47" t="s">
        <v>153</v>
      </c>
      <c r="C16" s="21" t="s">
        <v>134</v>
      </c>
      <c r="D16" s="36">
        <f>IF(C16="YES",O16,IF(C16="NO",0))</f>
        <v>5900</v>
      </c>
      <c r="E16" s="58"/>
      <c r="F16" s="58" t="s">
        <v>154</v>
      </c>
      <c r="G16" s="69"/>
      <c r="H16" s="40">
        <f>I7*1.05%</f>
        <v>1404.7748505000002</v>
      </c>
      <c r="I16" s="40"/>
      <c r="J16" s="51" t="s">
        <v>129</v>
      </c>
      <c r="K16" s="51">
        <f>(K14*3)-H8</f>
        <v>0</v>
      </c>
      <c r="L16" s="51">
        <f>(L14*12)-H8</f>
        <v>1755.9685631250031</v>
      </c>
      <c r="M16" s="51">
        <f>(M14*24)-H8</f>
        <v>4214.3245515000017</v>
      </c>
      <c r="N16" s="136"/>
      <c r="O16" s="127">
        <f>IF(B16="RMC-10-70KMS",O11,IF(B16="RMC-10-100000KMS",V11,IF(B16="RMC-40-70KMS",U11, IF(B16="RMC-10-40KMS",X11, IF(B16="RMC-10-60KMS",Y11, IF(B16="RMC-40-100000KMS",W11,0))))))</f>
        <v>5900</v>
      </c>
      <c r="P16" s="107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25.5">
      <c r="A17" s="67">
        <f>A15+A16</f>
        <v>4427</v>
      </c>
      <c r="B17" s="47"/>
      <c r="C17" s="21"/>
      <c r="D17" s="36">
        <f>SUM(D10:D16)</f>
        <v>20860.10125</v>
      </c>
      <c r="E17" s="64"/>
      <c r="F17" s="64"/>
      <c r="G17" s="69"/>
      <c r="H17" s="40">
        <f>+SUM(H12:H16)+(H7)</f>
        <v>35766.7951005</v>
      </c>
      <c r="I17" s="40"/>
      <c r="J17" s="21"/>
      <c r="K17" s="138"/>
      <c r="L17" s="138"/>
      <c r="M17" s="138"/>
      <c r="N17" s="136"/>
      <c r="O17" s="127">
        <f>IF(B11="FO Ceramic+ Intr&amp;Extr CeramicGold WdwTnt",2700,IF(B11="FO Mirror Camera Sensor",2000))</f>
        <v>2700</v>
      </c>
      <c r="P17" s="107"/>
      <c r="Q17" s="8"/>
      <c r="R17" s="8"/>
      <c r="S17" s="8"/>
      <c r="T17" s="8">
        <f>19615-791</f>
        <v>18824</v>
      </c>
      <c r="U17" s="8"/>
      <c r="V17" s="8"/>
      <c r="W17" s="8"/>
      <c r="X17" s="8"/>
      <c r="Y17" s="8"/>
      <c r="Z17" s="8"/>
      <c r="AA17" s="8"/>
    </row>
    <row r="18" spans="1:27" ht="25.5">
      <c r="A18" s="70" t="s">
        <v>155</v>
      </c>
      <c r="B18" s="41" t="s">
        <v>156</v>
      </c>
      <c r="C18" s="139"/>
      <c r="D18" s="72">
        <v>0</v>
      </c>
      <c r="E18" s="48"/>
      <c r="F18" s="21"/>
      <c r="G18" s="21"/>
      <c r="H18" s="47"/>
      <c r="I18" s="47"/>
      <c r="J18" s="47"/>
      <c r="K18" s="47"/>
      <c r="L18" s="47"/>
      <c r="M18" s="47"/>
      <c r="N18" s="47"/>
      <c r="O18" s="61" t="b">
        <f>IF(M21="5000-99999",1.99%)</f>
        <v>0</v>
      </c>
      <c r="P18" s="107"/>
      <c r="Q18" s="8"/>
      <c r="R18" s="8"/>
      <c r="S18" s="8"/>
      <c r="T18" s="8"/>
      <c r="U18" s="140" t="s">
        <v>157</v>
      </c>
      <c r="V18" s="140" t="s">
        <v>157</v>
      </c>
      <c r="W18" s="8"/>
      <c r="X18" s="8"/>
      <c r="Y18" s="8"/>
      <c r="Z18" s="8"/>
      <c r="AA18" s="8"/>
    </row>
    <row r="19" spans="1:27" ht="25.5">
      <c r="A19" s="67">
        <f>B8*3.15%</f>
        <v>4375.3500000000004</v>
      </c>
      <c r="B19" s="40" t="s">
        <v>158</v>
      </c>
      <c r="C19" s="65"/>
      <c r="D19" s="74">
        <f>IF(K21="DIB EXPAT",O13,IF(K21="DIB LOCAL GVH",U13,IF(K21="Emirates NBD",O14,IF(K21="ADCB",O15,IF(K21="ADCB PAY IN 2027",O19,IF(K21="Ajman Bank",O18,IF(K21="SIB STL",Z13,IF(K21="SIB NON STL",AA13,))))))))</f>
        <v>3.2500000000000001E-2</v>
      </c>
      <c r="E19" s="21"/>
      <c r="F19" s="141"/>
      <c r="G19" s="195" t="s">
        <v>159</v>
      </c>
      <c r="H19" s="182"/>
      <c r="I19" s="183"/>
      <c r="J19" s="44">
        <f>(U19*20/100)/365</f>
        <v>86.013698630136986</v>
      </c>
      <c r="K19" s="47"/>
      <c r="L19" s="47"/>
      <c r="M19" s="47"/>
      <c r="N19" s="42">
        <f>D7</f>
        <v>145845</v>
      </c>
      <c r="O19" s="61" t="b">
        <f>IF(M21="5000-11999",3.35%,IF(M21="12000-19999",3.35%,IF(M21="20000-39999",2.85%,IF(M21="40000-69999",2.85%,IF(M21="70000-99999",2.85%)))))</f>
        <v>0</v>
      </c>
      <c r="P19" s="107">
        <f>81400-2500</f>
        <v>78900</v>
      </c>
      <c r="Q19" s="8"/>
      <c r="R19" s="8"/>
      <c r="S19" s="8"/>
      <c r="T19" s="8"/>
      <c r="U19" s="142">
        <f>V19</f>
        <v>156975</v>
      </c>
      <c r="V19" s="143">
        <f>(B7+D10+D11+D12+D13+D16)*1.05</f>
        <v>156975</v>
      </c>
      <c r="W19" s="8"/>
      <c r="X19" s="8"/>
      <c r="Y19" s="8"/>
      <c r="Z19" s="8"/>
      <c r="AA19" s="8"/>
    </row>
    <row r="20" spans="1:27" ht="25.5">
      <c r="A20" s="67"/>
      <c r="B20" s="40" t="s">
        <v>160</v>
      </c>
      <c r="C20" s="65"/>
      <c r="D20" s="79">
        <v>0.2</v>
      </c>
      <c r="E20" s="47"/>
      <c r="F20" s="47"/>
      <c r="G20" s="48"/>
      <c r="H20" s="48"/>
      <c r="I20" s="48"/>
      <c r="J20" s="48"/>
      <c r="K20" s="80" t="s">
        <v>161</v>
      </c>
      <c r="L20" s="80" t="s">
        <v>132</v>
      </c>
      <c r="M20" s="80">
        <f>IF(L20="YES",O12,IF(L20="NO",0))</f>
        <v>0</v>
      </c>
      <c r="N20" s="42">
        <f>B8-M20</f>
        <v>138900</v>
      </c>
      <c r="O20" s="144"/>
      <c r="P20" s="137"/>
      <c r="Q20" s="8"/>
      <c r="R20" s="8"/>
      <c r="S20" s="8"/>
      <c r="T20" s="8">
        <f>1992+1084</f>
        <v>3076</v>
      </c>
      <c r="U20" s="116"/>
      <c r="V20" s="107"/>
      <c r="W20" s="8"/>
      <c r="X20" s="8"/>
      <c r="Y20" s="8"/>
      <c r="Z20" s="8"/>
      <c r="AA20" s="8"/>
    </row>
    <row r="21" spans="1:27" ht="25.5">
      <c r="A21" s="81">
        <f>A19+A20</f>
        <v>4375.3500000000004</v>
      </c>
      <c r="B21" s="47"/>
      <c r="C21" s="21"/>
      <c r="D21" s="47"/>
      <c r="E21" s="47"/>
      <c r="F21" s="47"/>
      <c r="G21" s="47"/>
      <c r="H21" s="47"/>
      <c r="I21" s="47"/>
      <c r="J21" s="82" t="s">
        <v>162</v>
      </c>
      <c r="K21" s="82" t="s">
        <v>205</v>
      </c>
      <c r="L21" s="82" t="s">
        <v>163</v>
      </c>
      <c r="M21" s="145" t="s">
        <v>164</v>
      </c>
      <c r="N21" s="146"/>
      <c r="O21" s="144"/>
      <c r="P21" s="107"/>
      <c r="Q21" s="8"/>
      <c r="R21" s="8"/>
      <c r="S21" s="8"/>
      <c r="T21" s="8">
        <f>25973-12973</f>
        <v>13000</v>
      </c>
      <c r="U21" s="116">
        <f>M14+N7</f>
        <v>4161.3667694374999</v>
      </c>
      <c r="V21" s="8"/>
      <c r="W21" s="8"/>
      <c r="X21" s="8"/>
      <c r="Y21" s="8"/>
      <c r="Z21" s="8"/>
      <c r="AA21" s="8"/>
    </row>
    <row r="22" spans="1:27" ht="25.5">
      <c r="A22" s="81"/>
      <c r="B22" s="196" t="s">
        <v>165</v>
      </c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3"/>
      <c r="O22" s="127"/>
      <c r="P22" s="107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26.25">
      <c r="A23" s="147" t="s">
        <v>166</v>
      </c>
      <c r="B23" s="148" t="s">
        <v>206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50"/>
      <c r="O23" s="151"/>
      <c r="P23" s="149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</row>
    <row r="24" spans="1:27" ht="26.25">
      <c r="A24" s="147" t="s">
        <v>166</v>
      </c>
      <c r="B24" s="148" t="s">
        <v>207</v>
      </c>
      <c r="C24" s="149"/>
      <c r="D24" s="149"/>
      <c r="E24" s="149"/>
      <c r="F24" s="149"/>
      <c r="G24" s="149"/>
      <c r="H24" s="153">
        <f>H7/365</f>
        <v>91.635671917808224</v>
      </c>
      <c r="I24" s="153">
        <f>H7+H12+H16</f>
        <v>35451.7951005</v>
      </c>
      <c r="J24" s="149"/>
      <c r="K24" s="149"/>
      <c r="L24" s="149"/>
      <c r="M24" s="149"/>
      <c r="N24" s="154"/>
      <c r="O24" s="151"/>
      <c r="P24" s="149">
        <f>1232+480</f>
        <v>1712</v>
      </c>
      <c r="Q24" s="152"/>
      <c r="R24" s="152"/>
      <c r="S24" s="152"/>
      <c r="T24" s="152">
        <f>88704/1.05</f>
        <v>84480</v>
      </c>
      <c r="U24" s="152"/>
      <c r="V24" s="152"/>
      <c r="W24" s="152"/>
      <c r="X24" s="152"/>
      <c r="Y24" s="152"/>
      <c r="Z24" s="152"/>
      <c r="AA24" s="152"/>
    </row>
    <row r="25" spans="1:27" ht="26.25">
      <c r="A25" s="147" t="s">
        <v>166</v>
      </c>
      <c r="B25" s="148" t="s">
        <v>208</v>
      </c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54"/>
      <c r="O25" s="151"/>
      <c r="P25" s="149"/>
      <c r="Q25" s="152">
        <f>79400-5233.33</f>
        <v>74166.67</v>
      </c>
      <c r="R25" s="152">
        <f>Q25*1.05</f>
        <v>77875.003500000006</v>
      </c>
      <c r="S25" s="152"/>
      <c r="T25" s="152"/>
      <c r="U25" s="152"/>
      <c r="V25" s="152"/>
      <c r="W25" s="152">
        <f>1999+1224</f>
        <v>3223</v>
      </c>
      <c r="X25" s="152"/>
      <c r="Y25" s="152"/>
      <c r="Z25" s="152"/>
      <c r="AA25" s="152"/>
    </row>
    <row r="26" spans="1:27" ht="26.25">
      <c r="A26" s="147" t="s">
        <v>166</v>
      </c>
      <c r="B26" s="148" t="s">
        <v>209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54"/>
      <c r="O26" s="151" t="s">
        <v>171</v>
      </c>
      <c r="P26" s="149"/>
      <c r="Q26" s="152"/>
      <c r="R26" s="152">
        <f>R25+2469</f>
        <v>80344.003500000006</v>
      </c>
      <c r="S26" s="152"/>
      <c r="T26" s="152"/>
      <c r="U26" s="152"/>
      <c r="V26" s="152"/>
      <c r="W26" s="152"/>
      <c r="X26" s="152"/>
      <c r="Y26" s="152"/>
      <c r="Z26" s="152"/>
      <c r="AA26" s="152"/>
    </row>
    <row r="27" spans="1:27" ht="26.25">
      <c r="A27" s="147" t="s">
        <v>166</v>
      </c>
      <c r="B27" s="148" t="s">
        <v>210</v>
      </c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54"/>
      <c r="O27" s="151">
        <f>129500-110900</f>
        <v>18600</v>
      </c>
      <c r="P27" s="149"/>
      <c r="Q27" s="152"/>
      <c r="R27" s="152"/>
      <c r="S27" s="152"/>
      <c r="T27" s="152"/>
      <c r="U27" s="152"/>
      <c r="V27" s="152"/>
      <c r="W27" s="155">
        <f>N7+L14</f>
        <v>5525.7264704687504</v>
      </c>
      <c r="X27" s="152"/>
      <c r="Y27" s="152"/>
      <c r="Z27" s="152"/>
      <c r="AA27" s="152"/>
    </row>
    <row r="28" spans="1:27" ht="26.25">
      <c r="A28" s="152"/>
      <c r="B28" s="148" t="s">
        <v>211</v>
      </c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54"/>
      <c r="O28" s="151">
        <f>85000-69900</f>
        <v>15100</v>
      </c>
      <c r="P28" s="149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</row>
    <row r="29" spans="1:27" ht="26.25">
      <c r="A29" s="152"/>
      <c r="B29" s="148" t="s">
        <v>212</v>
      </c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56"/>
      <c r="O29" s="151"/>
      <c r="P29" s="149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</row>
    <row r="30" spans="1:27" ht="15.75">
      <c r="A30" s="8"/>
      <c r="B30" s="199" t="s">
        <v>175</v>
      </c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3"/>
      <c r="O30" s="127"/>
      <c r="P30" s="10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5.75">
      <c r="A31" s="8"/>
      <c r="B31" s="198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3"/>
      <c r="O31" s="127"/>
      <c r="P31" s="107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20.25">
      <c r="A32" s="10"/>
      <c r="B32" s="197" t="s">
        <v>176</v>
      </c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3"/>
      <c r="O32" s="27"/>
      <c r="P32" s="9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20.25">
      <c r="A33" s="10"/>
      <c r="B33" s="197" t="s">
        <v>177</v>
      </c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3"/>
      <c r="O33" s="27"/>
      <c r="P33" s="9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20.25">
      <c r="A34" s="10"/>
      <c r="B34" s="92" t="s">
        <v>213</v>
      </c>
      <c r="C34" s="93"/>
      <c r="D34" s="93"/>
      <c r="E34" s="93"/>
      <c r="F34" s="93"/>
      <c r="G34" s="157" t="s">
        <v>214</v>
      </c>
      <c r="H34" s="157"/>
      <c r="I34" s="158"/>
      <c r="J34" s="158"/>
      <c r="K34" s="158"/>
      <c r="L34" s="158"/>
      <c r="M34" s="159" t="s">
        <v>215</v>
      </c>
      <c r="N34" s="160"/>
      <c r="O34" s="9"/>
      <c r="P34" s="9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5.75">
      <c r="A35" s="8"/>
      <c r="B35" s="161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3"/>
      <c r="O35" s="107"/>
      <c r="P35" s="107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.75">
      <c r="A36" s="8"/>
      <c r="B36" s="161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3"/>
      <c r="O36" s="107"/>
      <c r="P36" s="107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.75">
      <c r="A37" s="8"/>
      <c r="B37" s="161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3"/>
      <c r="O37" s="107"/>
      <c r="P37" s="107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6.5">
      <c r="A38" s="8"/>
      <c r="B38" s="164" t="s">
        <v>216</v>
      </c>
      <c r="C38" s="165"/>
      <c r="D38" s="166"/>
      <c r="E38" s="107"/>
      <c r="F38" s="107"/>
      <c r="G38" s="107"/>
      <c r="H38" s="107"/>
      <c r="I38" s="107"/>
      <c r="J38" s="167"/>
      <c r="K38" s="107"/>
      <c r="L38" s="107"/>
      <c r="M38" s="107"/>
      <c r="N38" s="168"/>
      <c r="O38" s="107"/>
      <c r="P38" s="107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6.5">
      <c r="A39" s="8"/>
      <c r="B39" s="164" t="s">
        <v>217</v>
      </c>
      <c r="C39" s="169"/>
      <c r="D39" s="166"/>
      <c r="E39" s="107"/>
      <c r="F39" s="107"/>
      <c r="G39" s="107"/>
      <c r="H39" s="107"/>
      <c r="I39" s="107"/>
      <c r="J39" s="167"/>
      <c r="K39" s="107"/>
      <c r="L39" s="107"/>
      <c r="M39" s="107"/>
      <c r="N39" s="170"/>
      <c r="O39" s="107"/>
      <c r="P39" s="10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6.5">
      <c r="A40" s="8"/>
      <c r="B40" s="164" t="s">
        <v>218</v>
      </c>
      <c r="C40" s="117"/>
      <c r="D40" s="107"/>
      <c r="E40" s="107"/>
      <c r="F40" s="107"/>
      <c r="G40" s="107"/>
      <c r="H40" s="107"/>
      <c r="I40" s="107"/>
      <c r="J40" s="167"/>
      <c r="K40" s="107"/>
      <c r="L40" s="107"/>
      <c r="M40" s="107"/>
      <c r="N40" s="170"/>
      <c r="O40" s="107"/>
      <c r="P40" s="107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6.5">
      <c r="A41" s="8"/>
      <c r="B41" s="164" t="s">
        <v>219</v>
      </c>
      <c r="C41" s="109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70"/>
      <c r="O41" s="107"/>
      <c r="P41" s="107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6.5">
      <c r="A42" s="8"/>
      <c r="B42" s="164" t="s">
        <v>220</v>
      </c>
      <c r="C42" s="109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70"/>
      <c r="O42" s="107"/>
      <c r="P42" s="107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6.5">
      <c r="A43" s="8"/>
      <c r="B43" s="164" t="s">
        <v>221</v>
      </c>
      <c r="C43" s="109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70"/>
      <c r="O43" s="107"/>
      <c r="P43" s="107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6.5">
      <c r="A44" s="8"/>
      <c r="B44" s="164" t="s">
        <v>222</v>
      </c>
      <c r="C44" s="109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70"/>
      <c r="O44" s="107"/>
      <c r="P44" s="107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6.5">
      <c r="A45" s="8"/>
      <c r="B45" s="164" t="s">
        <v>223</v>
      </c>
      <c r="C45" s="109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70"/>
      <c r="O45" s="107"/>
      <c r="P45" s="107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6.5">
      <c r="A46" s="8"/>
      <c r="B46" s="164" t="s">
        <v>224</v>
      </c>
      <c r="C46" s="109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70"/>
      <c r="O46" s="107"/>
      <c r="P46" s="107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5.75">
      <c r="A47" s="8"/>
      <c r="B47" s="198" t="s">
        <v>176</v>
      </c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3"/>
      <c r="O47" s="127"/>
      <c r="P47" s="107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5.75">
      <c r="A48" s="8"/>
      <c r="B48" s="198" t="s">
        <v>177</v>
      </c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3"/>
      <c r="O48" s="127"/>
      <c r="P48" s="107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5.75">
      <c r="A49" s="8"/>
      <c r="B49" s="198" t="s">
        <v>225</v>
      </c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3"/>
      <c r="O49" s="107"/>
      <c r="P49" s="107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27.75">
      <c r="A50" s="8"/>
      <c r="B50" s="107"/>
      <c r="C50" s="108" t="s">
        <v>226</v>
      </c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27.75">
      <c r="A51" s="8"/>
      <c r="B51" s="107"/>
      <c r="C51" s="108" t="s">
        <v>227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27.75">
      <c r="A52" s="8"/>
      <c r="B52" s="107"/>
      <c r="C52" s="108" t="s">
        <v>228</v>
      </c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27.75">
      <c r="A53" s="8"/>
      <c r="B53" s="107"/>
      <c r="C53" s="108" t="s">
        <v>229</v>
      </c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27.75">
      <c r="A54" s="8"/>
      <c r="B54" s="107"/>
      <c r="C54" s="108" t="s">
        <v>230</v>
      </c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5.75">
      <c r="A55" s="8"/>
      <c r="B55" s="107"/>
      <c r="C55" s="109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5.75">
      <c r="A56" s="8"/>
      <c r="B56" s="107"/>
      <c r="C56" s="109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5.75">
      <c r="A57" s="8"/>
      <c r="B57" s="107"/>
      <c r="C57" s="109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5.75">
      <c r="A58" s="8"/>
      <c r="B58" s="107"/>
      <c r="C58" s="109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5.75">
      <c r="A59" s="8"/>
      <c r="B59" s="107"/>
      <c r="C59" s="109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5.75">
      <c r="A60" s="8"/>
      <c r="B60" s="107"/>
      <c r="C60" s="109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5.75">
      <c r="A61" s="8"/>
      <c r="B61" s="107"/>
      <c r="C61" s="109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5.75">
      <c r="A62" s="8"/>
      <c r="B62" s="107"/>
      <c r="C62" s="109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5.75">
      <c r="A63" s="8"/>
      <c r="B63" s="107"/>
      <c r="C63" s="109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5.75">
      <c r="A64" s="8"/>
      <c r="B64" s="107"/>
      <c r="C64" s="109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5.75">
      <c r="A65" s="8"/>
      <c r="B65" s="107"/>
      <c r="C65" s="109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5.75">
      <c r="A66" s="8"/>
      <c r="B66" s="107"/>
      <c r="C66" s="109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5.75">
      <c r="A67" s="8"/>
      <c r="B67" s="107"/>
      <c r="C67" s="109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5.75">
      <c r="A68" s="8"/>
      <c r="B68" s="107"/>
      <c r="C68" s="109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5.75">
      <c r="A69" s="8"/>
      <c r="B69" s="107"/>
      <c r="C69" s="109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5.75">
      <c r="A70" s="8"/>
      <c r="B70" s="107"/>
      <c r="C70" s="109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5.75">
      <c r="A71" s="8"/>
      <c r="B71" s="107"/>
      <c r="C71" s="109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5.75">
      <c r="A72" s="8"/>
      <c r="B72" s="107"/>
      <c r="C72" s="109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5.75">
      <c r="A73" s="8"/>
      <c r="B73" s="107"/>
      <c r="C73" s="109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5.75">
      <c r="A74" s="8"/>
      <c r="B74" s="107"/>
      <c r="C74" s="109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5.75">
      <c r="A75" s="8"/>
      <c r="B75" s="107"/>
      <c r="C75" s="109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5.75">
      <c r="A76" s="8"/>
      <c r="B76" s="107"/>
      <c r="C76" s="109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5.75">
      <c r="A77" s="8"/>
      <c r="B77" s="107"/>
      <c r="C77" s="109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5.75">
      <c r="A78" s="8"/>
      <c r="B78" s="107"/>
      <c r="C78" s="109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5.75">
      <c r="A79" s="8"/>
      <c r="B79" s="107"/>
      <c r="C79" s="109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5.75">
      <c r="A80" s="8"/>
      <c r="B80" s="107"/>
      <c r="C80" s="109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5.75">
      <c r="A81" s="8"/>
      <c r="B81" s="107"/>
      <c r="C81" s="109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5.75">
      <c r="A82" s="8"/>
      <c r="B82" s="107"/>
      <c r="C82" s="109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5.75">
      <c r="A83" s="8"/>
      <c r="B83" s="107"/>
      <c r="C83" s="109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5.75">
      <c r="A84" s="8"/>
      <c r="B84" s="107"/>
      <c r="C84" s="109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5.75">
      <c r="A85" s="8"/>
      <c r="B85" s="107"/>
      <c r="C85" s="109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5.75">
      <c r="A86" s="8"/>
      <c r="B86" s="107"/>
      <c r="C86" s="109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5.75">
      <c r="A87" s="8"/>
      <c r="B87" s="107"/>
      <c r="C87" s="109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5.75">
      <c r="A88" s="8"/>
      <c r="B88" s="107"/>
      <c r="C88" s="109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5.75">
      <c r="A89" s="8"/>
      <c r="B89" s="107"/>
      <c r="C89" s="109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5.75">
      <c r="A90" s="8"/>
      <c r="B90" s="107"/>
      <c r="C90" s="109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5.75">
      <c r="A91" s="8"/>
      <c r="B91" s="107"/>
      <c r="C91" s="109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5.75">
      <c r="A92" s="8"/>
      <c r="B92" s="107"/>
      <c r="C92" s="109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5.75">
      <c r="A93" s="8"/>
      <c r="B93" s="107"/>
      <c r="C93" s="109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5.75">
      <c r="A94" s="8"/>
      <c r="B94" s="107"/>
      <c r="C94" s="109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5.75">
      <c r="A95" s="8"/>
      <c r="B95" s="107"/>
      <c r="C95" s="109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5.75">
      <c r="A96" s="8"/>
      <c r="B96" s="107"/>
      <c r="C96" s="109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5.75">
      <c r="A97" s="8"/>
      <c r="B97" s="107"/>
      <c r="C97" s="109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5.75">
      <c r="A98" s="8"/>
      <c r="B98" s="107"/>
      <c r="C98" s="109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5.75">
      <c r="A99" s="8"/>
      <c r="B99" s="107"/>
      <c r="C99" s="109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5.75">
      <c r="A100" s="8"/>
      <c r="B100" s="107"/>
      <c r="C100" s="109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5.75">
      <c r="A101" s="8"/>
      <c r="B101" s="107"/>
      <c r="C101" s="109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5.75">
      <c r="A102" s="8"/>
      <c r="B102" s="107"/>
      <c r="C102" s="109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5.75">
      <c r="A103" s="8"/>
      <c r="B103" s="107"/>
      <c r="C103" s="109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5.75">
      <c r="A104" s="8"/>
      <c r="B104" s="107"/>
      <c r="C104" s="109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5.75">
      <c r="A105" s="8"/>
      <c r="B105" s="107"/>
      <c r="C105" s="109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5.75">
      <c r="A106" s="8"/>
      <c r="B106" s="107"/>
      <c r="C106" s="109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5.75">
      <c r="A107" s="8"/>
      <c r="B107" s="107"/>
      <c r="C107" s="109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5.75">
      <c r="A108" s="8"/>
      <c r="B108" s="107"/>
      <c r="C108" s="109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5.75">
      <c r="A109" s="8"/>
      <c r="B109" s="107"/>
      <c r="C109" s="109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5.75">
      <c r="A110" s="8"/>
      <c r="B110" s="107"/>
      <c r="C110" s="109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5.75">
      <c r="A111" s="8"/>
      <c r="B111" s="107"/>
      <c r="C111" s="109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5.75">
      <c r="A112" s="8"/>
      <c r="B112" s="107"/>
      <c r="C112" s="109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5.75">
      <c r="A113" s="8"/>
      <c r="B113" s="107"/>
      <c r="C113" s="109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5.75">
      <c r="A114" s="8"/>
      <c r="B114" s="107"/>
      <c r="C114" s="109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5.75">
      <c r="A115" s="8"/>
      <c r="B115" s="107"/>
      <c r="C115" s="109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5.75">
      <c r="A116" s="8"/>
      <c r="B116" s="107"/>
      <c r="C116" s="109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5.75">
      <c r="A117" s="8"/>
      <c r="B117" s="107"/>
      <c r="C117" s="109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5.75">
      <c r="A118" s="8"/>
      <c r="B118" s="107"/>
      <c r="C118" s="109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5.75">
      <c r="A119" s="8"/>
      <c r="B119" s="107"/>
      <c r="C119" s="109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5.75">
      <c r="A120" s="8"/>
      <c r="B120" s="107"/>
      <c r="C120" s="109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5.75">
      <c r="A121" s="8"/>
      <c r="B121" s="107"/>
      <c r="C121" s="109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5.75">
      <c r="A122" s="8"/>
      <c r="B122" s="107"/>
      <c r="C122" s="109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5.75">
      <c r="A123" s="8"/>
      <c r="B123" s="107"/>
      <c r="C123" s="109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5.75">
      <c r="A124" s="8"/>
      <c r="B124" s="107"/>
      <c r="C124" s="109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5.75">
      <c r="A125" s="8"/>
      <c r="B125" s="107"/>
      <c r="C125" s="109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5.75">
      <c r="A126" s="8"/>
      <c r="B126" s="107"/>
      <c r="C126" s="109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5.75">
      <c r="A127" s="8"/>
      <c r="B127" s="107"/>
      <c r="C127" s="109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5.75">
      <c r="A128" s="8"/>
      <c r="B128" s="107"/>
      <c r="C128" s="109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5.75">
      <c r="A129" s="8"/>
      <c r="B129" s="107"/>
      <c r="C129" s="109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5.75">
      <c r="A130" s="8"/>
      <c r="B130" s="107"/>
      <c r="C130" s="109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5.75">
      <c r="A131" s="8"/>
      <c r="B131" s="107"/>
      <c r="C131" s="109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5.75">
      <c r="A132" s="8"/>
      <c r="B132" s="107"/>
      <c r="C132" s="109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5.75">
      <c r="A133" s="8"/>
      <c r="B133" s="107"/>
      <c r="C133" s="109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5.75">
      <c r="A134" s="8"/>
      <c r="B134" s="107"/>
      <c r="C134" s="109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5.75">
      <c r="A135" s="8"/>
      <c r="B135" s="107"/>
      <c r="C135" s="109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5.75">
      <c r="A136" s="8"/>
      <c r="B136" s="107"/>
      <c r="C136" s="109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5.75">
      <c r="A137" s="8"/>
      <c r="B137" s="107"/>
      <c r="C137" s="109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5.75">
      <c r="A138" s="8"/>
      <c r="B138" s="107"/>
      <c r="C138" s="109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5.75">
      <c r="A139" s="8"/>
      <c r="B139" s="107"/>
      <c r="C139" s="109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5.75">
      <c r="A140" s="8"/>
      <c r="B140" s="107"/>
      <c r="C140" s="109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5.75">
      <c r="A141" s="8"/>
      <c r="B141" s="107"/>
      <c r="C141" s="109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5.75">
      <c r="A142" s="8"/>
      <c r="B142" s="107"/>
      <c r="C142" s="109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5.75">
      <c r="A143" s="8"/>
      <c r="B143" s="107"/>
      <c r="C143" s="109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5.75">
      <c r="A144" s="8"/>
      <c r="B144" s="107"/>
      <c r="C144" s="109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5.75">
      <c r="A145" s="8"/>
      <c r="B145" s="107"/>
      <c r="C145" s="109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5.75">
      <c r="A146" s="8"/>
      <c r="B146" s="107"/>
      <c r="C146" s="109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5.75">
      <c r="A147" s="8"/>
      <c r="B147" s="107"/>
      <c r="C147" s="109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5.75">
      <c r="A148" s="8"/>
      <c r="B148" s="107"/>
      <c r="C148" s="109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5.75">
      <c r="A149" s="8"/>
      <c r="B149" s="107"/>
      <c r="C149" s="109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5.75">
      <c r="A150" s="8"/>
      <c r="B150" s="107"/>
      <c r="C150" s="109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5.75">
      <c r="A151" s="8"/>
      <c r="B151" s="107"/>
      <c r="C151" s="109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5.75">
      <c r="A152" s="8"/>
      <c r="B152" s="107"/>
      <c r="C152" s="109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5.75">
      <c r="A153" s="8"/>
      <c r="B153" s="107"/>
      <c r="C153" s="109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5.75">
      <c r="A154" s="8"/>
      <c r="B154" s="107"/>
      <c r="C154" s="109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5.75">
      <c r="A155" s="8"/>
      <c r="B155" s="107"/>
      <c r="C155" s="109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5.75">
      <c r="A156" s="8"/>
      <c r="B156" s="107"/>
      <c r="C156" s="109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5.75">
      <c r="A157" s="8"/>
      <c r="B157" s="107"/>
      <c r="C157" s="109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5.75">
      <c r="A158" s="8"/>
      <c r="B158" s="107"/>
      <c r="C158" s="109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5.75">
      <c r="A159" s="8"/>
      <c r="B159" s="107"/>
      <c r="C159" s="109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5.75">
      <c r="A160" s="8"/>
      <c r="B160" s="107"/>
      <c r="C160" s="109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5.75">
      <c r="A161" s="8"/>
      <c r="B161" s="107"/>
      <c r="C161" s="109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5.75">
      <c r="A162" s="8"/>
      <c r="B162" s="107"/>
      <c r="C162" s="109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5.75">
      <c r="A163" s="8"/>
      <c r="B163" s="107"/>
      <c r="C163" s="109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5.75">
      <c r="A164" s="8"/>
      <c r="B164" s="107"/>
      <c r="C164" s="109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5.75">
      <c r="A165" s="8"/>
      <c r="B165" s="107"/>
      <c r="C165" s="109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5.75">
      <c r="A166" s="8"/>
      <c r="B166" s="107"/>
      <c r="C166" s="109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5.75">
      <c r="A167" s="8"/>
      <c r="B167" s="107"/>
      <c r="C167" s="109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5.75">
      <c r="A168" s="8"/>
      <c r="B168" s="107"/>
      <c r="C168" s="109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5.75">
      <c r="A169" s="8"/>
      <c r="B169" s="107"/>
      <c r="C169" s="109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5.75">
      <c r="A170" s="8"/>
      <c r="B170" s="107"/>
      <c r="C170" s="109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5.75">
      <c r="A171" s="8"/>
      <c r="B171" s="107"/>
      <c r="C171" s="109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5.75">
      <c r="A172" s="8"/>
      <c r="B172" s="107"/>
      <c r="C172" s="109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5.75">
      <c r="A173" s="8"/>
      <c r="B173" s="107"/>
      <c r="C173" s="109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5.75">
      <c r="A174" s="8"/>
      <c r="B174" s="107"/>
      <c r="C174" s="109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5.75">
      <c r="A175" s="8"/>
      <c r="B175" s="107"/>
      <c r="C175" s="109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5.75">
      <c r="A176" s="8"/>
      <c r="B176" s="107"/>
      <c r="C176" s="109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5.75">
      <c r="A177" s="8"/>
      <c r="B177" s="107"/>
      <c r="C177" s="109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5.75">
      <c r="A178" s="8"/>
      <c r="B178" s="107"/>
      <c r="C178" s="109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5.75">
      <c r="A179" s="8"/>
      <c r="B179" s="107"/>
      <c r="C179" s="109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5.75">
      <c r="A180" s="8"/>
      <c r="B180" s="107"/>
      <c r="C180" s="109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5.75">
      <c r="A181" s="8"/>
      <c r="B181" s="107"/>
      <c r="C181" s="109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5.75">
      <c r="A182" s="8"/>
      <c r="B182" s="107"/>
      <c r="C182" s="109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5.75">
      <c r="A183" s="8"/>
      <c r="B183" s="107"/>
      <c r="C183" s="109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5.75">
      <c r="A184" s="8"/>
      <c r="B184" s="107"/>
      <c r="C184" s="109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5.75">
      <c r="A185" s="8"/>
      <c r="B185" s="107"/>
      <c r="C185" s="109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5.75">
      <c r="A186" s="8"/>
      <c r="B186" s="107"/>
      <c r="C186" s="109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5.75">
      <c r="A187" s="8"/>
      <c r="B187" s="107"/>
      <c r="C187" s="109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5.75">
      <c r="A188" s="8"/>
      <c r="B188" s="107"/>
      <c r="C188" s="109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5.75">
      <c r="A189" s="8"/>
      <c r="B189" s="107"/>
      <c r="C189" s="109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5.75">
      <c r="A190" s="8"/>
      <c r="B190" s="107"/>
      <c r="C190" s="109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5.75">
      <c r="A191" s="8"/>
      <c r="B191" s="107"/>
      <c r="C191" s="109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5.75">
      <c r="A192" s="8"/>
      <c r="B192" s="107"/>
      <c r="C192" s="109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5.75">
      <c r="A193" s="8"/>
      <c r="B193" s="107"/>
      <c r="C193" s="109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5.75">
      <c r="A194" s="8"/>
      <c r="B194" s="107"/>
      <c r="C194" s="109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5.75">
      <c r="A195" s="8"/>
      <c r="B195" s="107"/>
      <c r="C195" s="109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5.75">
      <c r="A196" s="8"/>
      <c r="B196" s="107"/>
      <c r="C196" s="109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5.75">
      <c r="A197" s="8"/>
      <c r="B197" s="107"/>
      <c r="C197" s="109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5.75">
      <c r="A198" s="8"/>
      <c r="B198" s="107"/>
      <c r="C198" s="109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5.75">
      <c r="A199" s="8"/>
      <c r="B199" s="107"/>
      <c r="C199" s="109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5.75">
      <c r="A200" s="8"/>
      <c r="B200" s="107"/>
      <c r="C200" s="109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5.75">
      <c r="A201" s="8"/>
      <c r="B201" s="107"/>
      <c r="C201" s="109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5.75">
      <c r="A202" s="8"/>
      <c r="B202" s="107"/>
      <c r="C202" s="109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5.75">
      <c r="A203" s="8"/>
      <c r="B203" s="107"/>
      <c r="C203" s="109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5.75">
      <c r="A204" s="8"/>
      <c r="B204" s="107"/>
      <c r="C204" s="109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5.75">
      <c r="A205" s="8"/>
      <c r="B205" s="107"/>
      <c r="C205" s="109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5.75">
      <c r="A206" s="8"/>
      <c r="B206" s="107"/>
      <c r="C206" s="109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5.75">
      <c r="A207" s="8"/>
      <c r="B207" s="107"/>
      <c r="C207" s="109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5.75">
      <c r="A208" s="8"/>
      <c r="B208" s="107"/>
      <c r="C208" s="109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5.75">
      <c r="A209" s="8"/>
      <c r="B209" s="107"/>
      <c r="C209" s="109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5.75">
      <c r="A210" s="8"/>
      <c r="B210" s="107"/>
      <c r="C210" s="109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5.75">
      <c r="A211" s="8"/>
      <c r="B211" s="107"/>
      <c r="C211" s="109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5.75">
      <c r="A212" s="8"/>
      <c r="B212" s="107"/>
      <c r="C212" s="109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5.75">
      <c r="A213" s="8"/>
      <c r="B213" s="107"/>
      <c r="C213" s="109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5.75">
      <c r="A214" s="8"/>
      <c r="B214" s="107"/>
      <c r="C214" s="109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5.75">
      <c r="A215" s="8"/>
      <c r="B215" s="107"/>
      <c r="C215" s="109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5.75">
      <c r="A216" s="8"/>
      <c r="B216" s="107"/>
      <c r="C216" s="109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5.75">
      <c r="A217" s="8"/>
      <c r="B217" s="107"/>
      <c r="C217" s="109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5.75">
      <c r="A218" s="8"/>
      <c r="B218" s="107"/>
      <c r="C218" s="109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5.75">
      <c r="A219" s="8"/>
      <c r="B219" s="107"/>
      <c r="C219" s="109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5.75">
      <c r="A220" s="8"/>
      <c r="B220" s="107"/>
      <c r="C220" s="109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5.75">
      <c r="A221" s="8"/>
      <c r="B221" s="107"/>
      <c r="C221" s="109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5.75">
      <c r="A222" s="8"/>
      <c r="B222" s="107"/>
      <c r="C222" s="109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5.75">
      <c r="A223" s="8"/>
      <c r="B223" s="107"/>
      <c r="C223" s="109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5.75">
      <c r="A224" s="8"/>
      <c r="B224" s="107"/>
      <c r="C224" s="109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5.75">
      <c r="A225" s="8"/>
      <c r="B225" s="107"/>
      <c r="C225" s="109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5.75">
      <c r="A226" s="8"/>
      <c r="B226" s="107"/>
      <c r="C226" s="109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5.75">
      <c r="A227" s="8"/>
      <c r="B227" s="107"/>
      <c r="C227" s="109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5.75">
      <c r="A228" s="8"/>
      <c r="B228" s="107"/>
      <c r="C228" s="109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5.75">
      <c r="A229" s="8"/>
      <c r="B229" s="107"/>
      <c r="C229" s="109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5.75">
      <c r="A230" s="8"/>
      <c r="B230" s="107"/>
      <c r="C230" s="109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5.75">
      <c r="A231" s="8"/>
      <c r="B231" s="107"/>
      <c r="C231" s="109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5.75">
      <c r="A232" s="8"/>
      <c r="B232" s="107"/>
      <c r="C232" s="109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5.75">
      <c r="A233" s="8"/>
      <c r="B233" s="107"/>
      <c r="C233" s="109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5.75">
      <c r="A234" s="8"/>
      <c r="B234" s="107"/>
      <c r="C234" s="109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5.75">
      <c r="A235" s="8"/>
      <c r="B235" s="107"/>
      <c r="C235" s="109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5.75">
      <c r="A236" s="8"/>
      <c r="B236" s="107"/>
      <c r="C236" s="109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5.75">
      <c r="A237" s="8"/>
      <c r="B237" s="107"/>
      <c r="C237" s="109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5.75">
      <c r="A238" s="8"/>
      <c r="B238" s="107"/>
      <c r="C238" s="109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5.75">
      <c r="A239" s="8"/>
      <c r="B239" s="107"/>
      <c r="C239" s="109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5.75">
      <c r="A240" s="8"/>
      <c r="B240" s="107"/>
      <c r="C240" s="109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5.75">
      <c r="A241" s="8"/>
      <c r="B241" s="107"/>
      <c r="C241" s="109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5.75">
      <c r="A242" s="8"/>
      <c r="B242" s="107"/>
      <c r="C242" s="109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5.75">
      <c r="A243" s="8"/>
      <c r="B243" s="107"/>
      <c r="C243" s="109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5.75">
      <c r="A244" s="8"/>
      <c r="B244" s="107"/>
      <c r="C244" s="109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5.75">
      <c r="A245" s="8"/>
      <c r="B245" s="107"/>
      <c r="C245" s="109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5.75">
      <c r="A246" s="8"/>
      <c r="B246" s="107"/>
      <c r="C246" s="109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5.75">
      <c r="A247" s="8"/>
      <c r="B247" s="107"/>
      <c r="C247" s="109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5.75">
      <c r="A248" s="8"/>
      <c r="B248" s="107"/>
      <c r="C248" s="109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5.75">
      <c r="A249" s="8"/>
      <c r="B249" s="107"/>
      <c r="C249" s="109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5.75">
      <c r="A250" s="8"/>
      <c r="B250" s="107"/>
      <c r="C250" s="109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5.75">
      <c r="A251" s="8"/>
      <c r="B251" s="107"/>
      <c r="C251" s="109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5.75">
      <c r="A252" s="8"/>
      <c r="B252" s="107"/>
      <c r="C252" s="109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5.75">
      <c r="A253" s="8"/>
      <c r="B253" s="107"/>
      <c r="C253" s="109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5.75">
      <c r="A254" s="8"/>
      <c r="B254" s="107"/>
      <c r="C254" s="109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5.75">
      <c r="A255" s="8"/>
      <c r="B255" s="107"/>
      <c r="C255" s="109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5.75">
      <c r="A256" s="8"/>
      <c r="B256" s="107"/>
      <c r="C256" s="109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5.75">
      <c r="A257" s="8"/>
      <c r="B257" s="107"/>
      <c r="C257" s="109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5.75">
      <c r="A258" s="8"/>
      <c r="B258" s="107"/>
      <c r="C258" s="109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5.75">
      <c r="A259" s="8"/>
      <c r="B259" s="107"/>
      <c r="C259" s="109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5.75">
      <c r="A260" s="8"/>
      <c r="B260" s="107"/>
      <c r="C260" s="109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5.75">
      <c r="A261" s="8"/>
      <c r="B261" s="107"/>
      <c r="C261" s="109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5.75">
      <c r="A262" s="8"/>
      <c r="B262" s="107"/>
      <c r="C262" s="109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5.75">
      <c r="A263" s="8"/>
      <c r="B263" s="107"/>
      <c r="C263" s="109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5.75">
      <c r="A264" s="8"/>
      <c r="B264" s="107"/>
      <c r="C264" s="109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5.75">
      <c r="A265" s="8"/>
      <c r="B265" s="107"/>
      <c r="C265" s="109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5.75">
      <c r="A266" s="8"/>
      <c r="B266" s="107"/>
      <c r="C266" s="109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5.75">
      <c r="A267" s="8"/>
      <c r="B267" s="107"/>
      <c r="C267" s="109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5.75">
      <c r="A268" s="8"/>
      <c r="B268" s="107"/>
      <c r="C268" s="109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5.75">
      <c r="A269" s="8"/>
      <c r="B269" s="107"/>
      <c r="C269" s="109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5.75">
      <c r="A270" s="8"/>
      <c r="B270" s="107"/>
      <c r="C270" s="109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5.75">
      <c r="A271" s="8"/>
      <c r="B271" s="107"/>
      <c r="C271" s="109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5.75">
      <c r="A272" s="8"/>
      <c r="B272" s="107"/>
      <c r="C272" s="109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5.75">
      <c r="A273" s="8"/>
      <c r="B273" s="107"/>
      <c r="C273" s="109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5.75">
      <c r="A274" s="8"/>
      <c r="B274" s="107"/>
      <c r="C274" s="109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5.75">
      <c r="A275" s="8"/>
      <c r="B275" s="107"/>
      <c r="C275" s="109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5.75">
      <c r="A276" s="8"/>
      <c r="B276" s="107"/>
      <c r="C276" s="109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5.75">
      <c r="A277" s="8"/>
      <c r="B277" s="107"/>
      <c r="C277" s="109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5.75">
      <c r="A278" s="8"/>
      <c r="B278" s="107"/>
      <c r="C278" s="109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5.75">
      <c r="A279" s="8"/>
      <c r="B279" s="107"/>
      <c r="C279" s="109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5.75">
      <c r="A280" s="8"/>
      <c r="B280" s="107"/>
      <c r="C280" s="109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5.75">
      <c r="A281" s="8"/>
      <c r="B281" s="107"/>
      <c r="C281" s="109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5.75">
      <c r="A282" s="8"/>
      <c r="B282" s="107"/>
      <c r="C282" s="109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5.75">
      <c r="A283" s="8"/>
      <c r="B283" s="107"/>
      <c r="C283" s="109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5.75">
      <c r="A284" s="8"/>
      <c r="B284" s="107"/>
      <c r="C284" s="109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5.75">
      <c r="A285" s="8"/>
      <c r="B285" s="107"/>
      <c r="C285" s="109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5.75">
      <c r="A286" s="8"/>
      <c r="B286" s="107"/>
      <c r="C286" s="109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5.75">
      <c r="A287" s="8"/>
      <c r="B287" s="107"/>
      <c r="C287" s="109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5.75">
      <c r="A288" s="8"/>
      <c r="B288" s="107"/>
      <c r="C288" s="109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5.75">
      <c r="A289" s="8"/>
      <c r="B289" s="107"/>
      <c r="C289" s="109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5.75">
      <c r="A290" s="8"/>
      <c r="B290" s="107"/>
      <c r="C290" s="109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5.75">
      <c r="A291" s="8"/>
      <c r="B291" s="107"/>
      <c r="C291" s="109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5.75">
      <c r="A292" s="8"/>
      <c r="B292" s="107"/>
      <c r="C292" s="109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5.75">
      <c r="A293" s="8"/>
      <c r="B293" s="107"/>
      <c r="C293" s="109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5.75">
      <c r="A294" s="8"/>
      <c r="B294" s="107"/>
      <c r="C294" s="109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5.75">
      <c r="A295" s="8"/>
      <c r="B295" s="107"/>
      <c r="C295" s="109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5.75">
      <c r="A296" s="8"/>
      <c r="B296" s="107"/>
      <c r="C296" s="109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5.75">
      <c r="A297" s="8"/>
      <c r="B297" s="107"/>
      <c r="C297" s="109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5.75">
      <c r="A298" s="8"/>
      <c r="B298" s="107"/>
      <c r="C298" s="109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5.75">
      <c r="A299" s="8"/>
      <c r="B299" s="107"/>
      <c r="C299" s="109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5.75">
      <c r="A300" s="8"/>
      <c r="B300" s="107"/>
      <c r="C300" s="109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5.75">
      <c r="A301" s="8"/>
      <c r="B301" s="107"/>
      <c r="C301" s="109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5.75">
      <c r="A302" s="8"/>
      <c r="B302" s="107"/>
      <c r="C302" s="109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5.75">
      <c r="A303" s="8"/>
      <c r="B303" s="107"/>
      <c r="C303" s="109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5.75">
      <c r="A304" s="8"/>
      <c r="B304" s="107"/>
      <c r="C304" s="109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5.75">
      <c r="A305" s="8"/>
      <c r="B305" s="107"/>
      <c r="C305" s="109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5.75">
      <c r="A306" s="8"/>
      <c r="B306" s="107"/>
      <c r="C306" s="109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5.75">
      <c r="A307" s="8"/>
      <c r="B307" s="107"/>
      <c r="C307" s="109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5.75">
      <c r="A308" s="8"/>
      <c r="B308" s="107"/>
      <c r="C308" s="109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5.75">
      <c r="A309" s="8"/>
      <c r="B309" s="107"/>
      <c r="C309" s="109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5.75">
      <c r="A310" s="8"/>
      <c r="B310" s="107"/>
      <c r="C310" s="109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5.75">
      <c r="A311" s="8"/>
      <c r="B311" s="107"/>
      <c r="C311" s="109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5.75">
      <c r="A312" s="8"/>
      <c r="B312" s="107"/>
      <c r="C312" s="109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5.75">
      <c r="A313" s="8"/>
      <c r="B313" s="107"/>
      <c r="C313" s="109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5.75">
      <c r="A314" s="8"/>
      <c r="B314" s="107"/>
      <c r="C314" s="109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5.75">
      <c r="A315" s="8"/>
      <c r="B315" s="107"/>
      <c r="C315" s="109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5.75">
      <c r="A316" s="8"/>
      <c r="B316" s="107"/>
      <c r="C316" s="109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5.75">
      <c r="A317" s="8"/>
      <c r="B317" s="107"/>
      <c r="C317" s="109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5.75">
      <c r="A318" s="8"/>
      <c r="B318" s="107"/>
      <c r="C318" s="109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5.75">
      <c r="A319" s="8"/>
      <c r="B319" s="107"/>
      <c r="C319" s="109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5.75">
      <c r="A320" s="8"/>
      <c r="B320" s="107"/>
      <c r="C320" s="109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5.75">
      <c r="A321" s="8"/>
      <c r="B321" s="107"/>
      <c r="C321" s="109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5.75">
      <c r="A322" s="8"/>
      <c r="B322" s="107"/>
      <c r="C322" s="109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5.75">
      <c r="A323" s="8"/>
      <c r="B323" s="107"/>
      <c r="C323" s="109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5.75">
      <c r="A324" s="8"/>
      <c r="B324" s="107"/>
      <c r="C324" s="109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5.75">
      <c r="A325" s="8"/>
      <c r="B325" s="107"/>
      <c r="C325" s="109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5.75">
      <c r="A326" s="8"/>
      <c r="B326" s="107"/>
      <c r="C326" s="109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5.75">
      <c r="A327" s="8"/>
      <c r="B327" s="107"/>
      <c r="C327" s="109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5.75">
      <c r="A328" s="8"/>
      <c r="B328" s="107"/>
      <c r="C328" s="109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5.75">
      <c r="A329" s="8"/>
      <c r="B329" s="107"/>
      <c r="C329" s="109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5.75">
      <c r="A330" s="8"/>
      <c r="B330" s="107"/>
      <c r="C330" s="109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5.75">
      <c r="A331" s="8"/>
      <c r="B331" s="107"/>
      <c r="C331" s="109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5.75">
      <c r="A332" s="8"/>
      <c r="B332" s="107"/>
      <c r="C332" s="109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5.75">
      <c r="A333" s="8"/>
      <c r="B333" s="107"/>
      <c r="C333" s="109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5.75">
      <c r="A334" s="8"/>
      <c r="B334" s="107"/>
      <c r="C334" s="109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5.75">
      <c r="A335" s="8"/>
      <c r="B335" s="107"/>
      <c r="C335" s="109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5.75">
      <c r="A336" s="8"/>
      <c r="B336" s="107"/>
      <c r="C336" s="109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5.75">
      <c r="A337" s="8"/>
      <c r="B337" s="107"/>
      <c r="C337" s="109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5.75">
      <c r="A338" s="8"/>
      <c r="B338" s="107"/>
      <c r="C338" s="109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5.75">
      <c r="A339" s="8"/>
      <c r="B339" s="107"/>
      <c r="C339" s="109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5.75">
      <c r="A340" s="8"/>
      <c r="B340" s="107"/>
      <c r="C340" s="109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5.75">
      <c r="A341" s="8"/>
      <c r="B341" s="107"/>
      <c r="C341" s="109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5.75">
      <c r="A342" s="8"/>
      <c r="B342" s="107"/>
      <c r="C342" s="109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5.75">
      <c r="A343" s="8"/>
      <c r="B343" s="107"/>
      <c r="C343" s="109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5.75">
      <c r="A344" s="8"/>
      <c r="B344" s="107"/>
      <c r="C344" s="109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5.75">
      <c r="A345" s="8"/>
      <c r="B345" s="107"/>
      <c r="C345" s="109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5.75">
      <c r="A346" s="8"/>
      <c r="B346" s="107"/>
      <c r="C346" s="109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5.75">
      <c r="A347" s="8"/>
      <c r="B347" s="107"/>
      <c r="C347" s="109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5.75">
      <c r="A348" s="8"/>
      <c r="B348" s="107"/>
      <c r="C348" s="109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5.75">
      <c r="A349" s="8"/>
      <c r="B349" s="107"/>
      <c r="C349" s="109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5.75">
      <c r="A350" s="8"/>
      <c r="B350" s="107"/>
      <c r="C350" s="109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5.75">
      <c r="A351" s="8"/>
      <c r="B351" s="107"/>
      <c r="C351" s="109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5.75">
      <c r="A352" s="8"/>
      <c r="B352" s="107"/>
      <c r="C352" s="109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5.75">
      <c r="A353" s="8"/>
      <c r="B353" s="107"/>
      <c r="C353" s="109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5.75">
      <c r="A354" s="8"/>
      <c r="B354" s="107"/>
      <c r="C354" s="109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5.75">
      <c r="A355" s="8"/>
      <c r="B355" s="107"/>
      <c r="C355" s="109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5.75">
      <c r="A356" s="8"/>
      <c r="B356" s="107"/>
      <c r="C356" s="109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5.75">
      <c r="A357" s="8"/>
      <c r="B357" s="107"/>
      <c r="C357" s="109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5.75">
      <c r="A358" s="8"/>
      <c r="B358" s="107"/>
      <c r="C358" s="109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5.75">
      <c r="A359" s="8"/>
      <c r="B359" s="107"/>
      <c r="C359" s="109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5.75">
      <c r="A360" s="8"/>
      <c r="B360" s="107"/>
      <c r="C360" s="109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5.75">
      <c r="A361" s="8"/>
      <c r="B361" s="107"/>
      <c r="C361" s="109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5.75">
      <c r="A362" s="8"/>
      <c r="B362" s="107"/>
      <c r="C362" s="109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5.75">
      <c r="A363" s="8"/>
      <c r="B363" s="107"/>
      <c r="C363" s="109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5.75">
      <c r="A364" s="8"/>
      <c r="B364" s="107"/>
      <c r="C364" s="109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5.75">
      <c r="A365" s="8"/>
      <c r="B365" s="107"/>
      <c r="C365" s="109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5.75">
      <c r="A366" s="8"/>
      <c r="B366" s="107"/>
      <c r="C366" s="109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5.75">
      <c r="A367" s="8"/>
      <c r="B367" s="107"/>
      <c r="C367" s="109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5.75">
      <c r="A368" s="8"/>
      <c r="B368" s="107"/>
      <c r="C368" s="109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5.75">
      <c r="A369" s="8"/>
      <c r="B369" s="107"/>
      <c r="C369" s="109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5.75">
      <c r="A370" s="8"/>
      <c r="B370" s="107"/>
      <c r="C370" s="109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5.75">
      <c r="A371" s="8"/>
      <c r="B371" s="107"/>
      <c r="C371" s="109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5.75">
      <c r="A372" s="8"/>
      <c r="B372" s="107"/>
      <c r="C372" s="109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5.75">
      <c r="A373" s="8"/>
      <c r="B373" s="107"/>
      <c r="C373" s="109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5.75">
      <c r="A374" s="8"/>
      <c r="B374" s="107"/>
      <c r="C374" s="109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5.75">
      <c r="A375" s="8"/>
      <c r="B375" s="107"/>
      <c r="C375" s="109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5.75">
      <c r="A376" s="8"/>
      <c r="B376" s="107"/>
      <c r="C376" s="109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5.75">
      <c r="A377" s="8"/>
      <c r="B377" s="107"/>
      <c r="C377" s="109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5.75">
      <c r="A378" s="8"/>
      <c r="B378" s="107"/>
      <c r="C378" s="109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5.75">
      <c r="A379" s="8"/>
      <c r="B379" s="107"/>
      <c r="C379" s="109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5.75">
      <c r="A380" s="8"/>
      <c r="B380" s="107"/>
      <c r="C380" s="109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5.75">
      <c r="A381" s="8"/>
      <c r="B381" s="107"/>
      <c r="C381" s="109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5.75">
      <c r="A382" s="8"/>
      <c r="B382" s="107"/>
      <c r="C382" s="109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5.75">
      <c r="A383" s="8"/>
      <c r="B383" s="107"/>
      <c r="C383" s="109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5.75">
      <c r="A384" s="8"/>
      <c r="B384" s="107"/>
      <c r="C384" s="109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5.75">
      <c r="A385" s="8"/>
      <c r="B385" s="107"/>
      <c r="C385" s="109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5.75">
      <c r="A386" s="8"/>
      <c r="B386" s="107"/>
      <c r="C386" s="109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5.75">
      <c r="A387" s="8"/>
      <c r="B387" s="107"/>
      <c r="C387" s="109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5.75">
      <c r="A388" s="8"/>
      <c r="B388" s="107"/>
      <c r="C388" s="109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5.75">
      <c r="A389" s="8"/>
      <c r="B389" s="107"/>
      <c r="C389" s="109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5.75">
      <c r="A390" s="8"/>
      <c r="B390" s="107"/>
      <c r="C390" s="109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5.75">
      <c r="A391" s="8"/>
      <c r="B391" s="107"/>
      <c r="C391" s="109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5.75">
      <c r="A392" s="8"/>
      <c r="B392" s="107"/>
      <c r="C392" s="109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5.75">
      <c r="A393" s="8"/>
      <c r="B393" s="107"/>
      <c r="C393" s="109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5.75">
      <c r="A394" s="8"/>
      <c r="B394" s="107"/>
      <c r="C394" s="109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5.75">
      <c r="A395" s="8"/>
      <c r="B395" s="107"/>
      <c r="C395" s="109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5.75">
      <c r="A396" s="8"/>
      <c r="B396" s="107"/>
      <c r="C396" s="109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5.75">
      <c r="A397" s="8"/>
      <c r="B397" s="107"/>
      <c r="C397" s="109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5.75">
      <c r="A398" s="8"/>
      <c r="B398" s="107"/>
      <c r="C398" s="109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5.75">
      <c r="A399" s="8"/>
      <c r="B399" s="107"/>
      <c r="C399" s="109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5.75">
      <c r="A400" s="8"/>
      <c r="B400" s="107"/>
      <c r="C400" s="109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5.75">
      <c r="A401" s="8"/>
      <c r="B401" s="107"/>
      <c r="C401" s="109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5.75">
      <c r="A402" s="8"/>
      <c r="B402" s="107"/>
      <c r="C402" s="109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5.75">
      <c r="A403" s="8"/>
      <c r="B403" s="107"/>
      <c r="C403" s="109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5.75">
      <c r="A404" s="8"/>
      <c r="B404" s="107"/>
      <c r="C404" s="109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5.75">
      <c r="A405" s="8"/>
      <c r="B405" s="107"/>
      <c r="C405" s="109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5.75">
      <c r="A406" s="8"/>
      <c r="B406" s="107"/>
      <c r="C406" s="109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5.75">
      <c r="A407" s="8"/>
      <c r="B407" s="107"/>
      <c r="C407" s="109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5.75">
      <c r="A408" s="8"/>
      <c r="B408" s="107"/>
      <c r="C408" s="109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5.75">
      <c r="A409" s="8"/>
      <c r="B409" s="107"/>
      <c r="C409" s="109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5.75">
      <c r="A410" s="8"/>
      <c r="B410" s="107"/>
      <c r="C410" s="109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5.75">
      <c r="A411" s="8"/>
      <c r="B411" s="107"/>
      <c r="C411" s="109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5.75">
      <c r="A412" s="8"/>
      <c r="B412" s="107"/>
      <c r="C412" s="109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5.75">
      <c r="A413" s="8"/>
      <c r="B413" s="107"/>
      <c r="C413" s="109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5.75">
      <c r="A414" s="8"/>
      <c r="B414" s="107"/>
      <c r="C414" s="109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5.75">
      <c r="A415" s="8"/>
      <c r="B415" s="107"/>
      <c r="C415" s="109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5.75">
      <c r="A416" s="8"/>
      <c r="B416" s="107"/>
      <c r="C416" s="109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5.75">
      <c r="A417" s="8"/>
      <c r="B417" s="107"/>
      <c r="C417" s="109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5.75">
      <c r="A418" s="8"/>
      <c r="B418" s="107"/>
      <c r="C418" s="109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5.75">
      <c r="A419" s="8"/>
      <c r="B419" s="107"/>
      <c r="C419" s="109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5.75">
      <c r="A420" s="8"/>
      <c r="B420" s="107"/>
      <c r="C420" s="109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5.75">
      <c r="A421" s="8"/>
      <c r="B421" s="107"/>
      <c r="C421" s="109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5.75">
      <c r="A422" s="8"/>
      <c r="B422" s="107"/>
      <c r="C422" s="109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5.75">
      <c r="A423" s="8"/>
      <c r="B423" s="107"/>
      <c r="C423" s="109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5.75">
      <c r="A424" s="8"/>
      <c r="B424" s="107"/>
      <c r="C424" s="109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5.75">
      <c r="A425" s="8"/>
      <c r="B425" s="107"/>
      <c r="C425" s="109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5.75">
      <c r="A426" s="8"/>
      <c r="B426" s="107"/>
      <c r="C426" s="109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5.75">
      <c r="A427" s="8"/>
      <c r="B427" s="107"/>
      <c r="C427" s="109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5.75">
      <c r="A428" s="8"/>
      <c r="B428" s="107"/>
      <c r="C428" s="109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5.75">
      <c r="A429" s="8"/>
      <c r="B429" s="107"/>
      <c r="C429" s="109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5.75">
      <c r="A430" s="8"/>
      <c r="B430" s="107"/>
      <c r="C430" s="109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5.75">
      <c r="A431" s="8"/>
      <c r="B431" s="107"/>
      <c r="C431" s="109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5.75">
      <c r="A432" s="8"/>
      <c r="B432" s="107"/>
      <c r="C432" s="109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5.75">
      <c r="A433" s="8"/>
      <c r="B433" s="107"/>
      <c r="C433" s="109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5.75">
      <c r="A434" s="8"/>
      <c r="B434" s="107"/>
      <c r="C434" s="109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5.75">
      <c r="A435" s="8"/>
      <c r="B435" s="107"/>
      <c r="C435" s="109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5.75">
      <c r="A436" s="8"/>
      <c r="B436" s="107"/>
      <c r="C436" s="109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5.75">
      <c r="A437" s="8"/>
      <c r="B437" s="107"/>
      <c r="C437" s="109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5.75">
      <c r="A438" s="8"/>
      <c r="B438" s="107"/>
      <c r="C438" s="109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5.75">
      <c r="A439" s="8"/>
      <c r="B439" s="107"/>
      <c r="C439" s="109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5.75">
      <c r="A440" s="8"/>
      <c r="B440" s="107"/>
      <c r="C440" s="109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5.75">
      <c r="A441" s="8"/>
      <c r="B441" s="107"/>
      <c r="C441" s="109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5.75">
      <c r="A442" s="8"/>
      <c r="B442" s="107"/>
      <c r="C442" s="109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5.75">
      <c r="A443" s="8"/>
      <c r="B443" s="107"/>
      <c r="C443" s="109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5.75">
      <c r="A444" s="8"/>
      <c r="B444" s="107"/>
      <c r="C444" s="109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5.75">
      <c r="A445" s="8"/>
      <c r="B445" s="107"/>
      <c r="C445" s="109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5.75">
      <c r="A446" s="8"/>
      <c r="B446" s="107"/>
      <c r="C446" s="109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5.75">
      <c r="A447" s="8"/>
      <c r="B447" s="107"/>
      <c r="C447" s="109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5.75">
      <c r="A448" s="8"/>
      <c r="B448" s="107"/>
      <c r="C448" s="109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5.75">
      <c r="A449" s="8"/>
      <c r="B449" s="107"/>
      <c r="C449" s="109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5.75">
      <c r="A450" s="8"/>
      <c r="B450" s="107"/>
      <c r="C450" s="109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5.75">
      <c r="A451" s="8"/>
      <c r="B451" s="107"/>
      <c r="C451" s="109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5.75">
      <c r="A452" s="8"/>
      <c r="B452" s="107"/>
      <c r="C452" s="109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5.75">
      <c r="A453" s="8"/>
      <c r="B453" s="107"/>
      <c r="C453" s="109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5.75">
      <c r="A454" s="8"/>
      <c r="B454" s="107"/>
      <c r="C454" s="109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5.75">
      <c r="A455" s="8"/>
      <c r="B455" s="107"/>
      <c r="C455" s="109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5.75">
      <c r="A456" s="8"/>
      <c r="B456" s="107"/>
      <c r="C456" s="109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5.75">
      <c r="A457" s="8"/>
      <c r="B457" s="107"/>
      <c r="C457" s="109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5.75">
      <c r="A458" s="8"/>
      <c r="B458" s="107"/>
      <c r="C458" s="109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5.75">
      <c r="A459" s="8"/>
      <c r="B459" s="107"/>
      <c r="C459" s="109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5.75">
      <c r="A460" s="8"/>
      <c r="B460" s="107"/>
      <c r="C460" s="109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5.75">
      <c r="A461" s="8"/>
      <c r="B461" s="107"/>
      <c r="C461" s="109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5.75">
      <c r="A462" s="8"/>
      <c r="B462" s="107"/>
      <c r="C462" s="109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5.75">
      <c r="A463" s="8"/>
      <c r="B463" s="107"/>
      <c r="C463" s="109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5.75">
      <c r="A464" s="8"/>
      <c r="B464" s="107"/>
      <c r="C464" s="109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5.75">
      <c r="A465" s="8"/>
      <c r="B465" s="107"/>
      <c r="C465" s="109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5.75">
      <c r="A466" s="8"/>
      <c r="B466" s="107"/>
      <c r="C466" s="109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5.75">
      <c r="A467" s="8"/>
      <c r="B467" s="107"/>
      <c r="C467" s="109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5.75">
      <c r="A468" s="8"/>
      <c r="B468" s="107"/>
      <c r="C468" s="109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5.75">
      <c r="A469" s="8"/>
      <c r="B469" s="107"/>
      <c r="C469" s="109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5.75">
      <c r="A470" s="8"/>
      <c r="B470" s="107"/>
      <c r="C470" s="109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5.75">
      <c r="A471" s="8"/>
      <c r="B471" s="107"/>
      <c r="C471" s="109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5.75">
      <c r="A472" s="8"/>
      <c r="B472" s="107"/>
      <c r="C472" s="109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5.75">
      <c r="A473" s="8"/>
      <c r="B473" s="107"/>
      <c r="C473" s="109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5.75">
      <c r="A474" s="8"/>
      <c r="B474" s="107"/>
      <c r="C474" s="109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5.75">
      <c r="A475" s="8"/>
      <c r="B475" s="107"/>
      <c r="C475" s="109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5.75">
      <c r="A476" s="8"/>
      <c r="B476" s="107"/>
      <c r="C476" s="109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5.75">
      <c r="A477" s="8"/>
      <c r="B477" s="107"/>
      <c r="C477" s="109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5.75">
      <c r="A478" s="8"/>
      <c r="B478" s="107"/>
      <c r="C478" s="109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5.75">
      <c r="A479" s="8"/>
      <c r="B479" s="107"/>
      <c r="C479" s="109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5.75">
      <c r="A480" s="8"/>
      <c r="B480" s="107"/>
      <c r="C480" s="109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5.75">
      <c r="A481" s="8"/>
      <c r="B481" s="107"/>
      <c r="C481" s="109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5.75">
      <c r="A482" s="8"/>
      <c r="B482" s="107"/>
      <c r="C482" s="109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5.75">
      <c r="A483" s="8"/>
      <c r="B483" s="107"/>
      <c r="C483" s="109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5.75">
      <c r="A484" s="8"/>
      <c r="B484" s="107"/>
      <c r="C484" s="109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5.75">
      <c r="A485" s="8"/>
      <c r="B485" s="107"/>
      <c r="C485" s="109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5.75">
      <c r="A486" s="8"/>
      <c r="B486" s="107"/>
      <c r="C486" s="109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5.75">
      <c r="A487" s="8"/>
      <c r="B487" s="107"/>
      <c r="C487" s="109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5.75">
      <c r="A488" s="8"/>
      <c r="B488" s="107"/>
      <c r="C488" s="109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5.75">
      <c r="A489" s="8"/>
      <c r="B489" s="107"/>
      <c r="C489" s="109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5.75">
      <c r="A490" s="8"/>
      <c r="B490" s="107"/>
      <c r="C490" s="109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5.75">
      <c r="A491" s="8"/>
      <c r="B491" s="107"/>
      <c r="C491" s="109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5.75">
      <c r="A492" s="8"/>
      <c r="B492" s="107"/>
      <c r="C492" s="109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5.75">
      <c r="A493" s="8"/>
      <c r="B493" s="107"/>
      <c r="C493" s="109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5.75">
      <c r="A494" s="8"/>
      <c r="B494" s="107"/>
      <c r="C494" s="109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5.75">
      <c r="A495" s="8"/>
      <c r="B495" s="107"/>
      <c r="C495" s="109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5.75">
      <c r="A496" s="8"/>
      <c r="B496" s="107"/>
      <c r="C496" s="109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5.75">
      <c r="A497" s="8"/>
      <c r="B497" s="107"/>
      <c r="C497" s="109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5.75">
      <c r="A498" s="8"/>
      <c r="B498" s="107"/>
      <c r="C498" s="109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5.75">
      <c r="A499" s="8"/>
      <c r="B499" s="107"/>
      <c r="C499" s="109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5.75">
      <c r="A500" s="8"/>
      <c r="B500" s="107"/>
      <c r="C500" s="109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5.75">
      <c r="A501" s="8"/>
      <c r="B501" s="107"/>
      <c r="C501" s="109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5.75">
      <c r="A502" s="8"/>
      <c r="B502" s="107"/>
      <c r="C502" s="109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5.75">
      <c r="A503" s="8"/>
      <c r="B503" s="107"/>
      <c r="C503" s="109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5.75">
      <c r="A504" s="8"/>
      <c r="B504" s="107"/>
      <c r="C504" s="109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5.75">
      <c r="A505" s="8"/>
      <c r="B505" s="107"/>
      <c r="C505" s="109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5.75">
      <c r="A506" s="8"/>
      <c r="B506" s="107"/>
      <c r="C506" s="109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5.75">
      <c r="A507" s="8"/>
      <c r="B507" s="107"/>
      <c r="C507" s="109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5.75">
      <c r="A508" s="8"/>
      <c r="B508" s="107"/>
      <c r="C508" s="109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5.75">
      <c r="A509" s="8"/>
      <c r="B509" s="107"/>
      <c r="C509" s="109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5.75">
      <c r="A510" s="8"/>
      <c r="B510" s="107"/>
      <c r="C510" s="109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5.75">
      <c r="A511" s="8"/>
      <c r="B511" s="107"/>
      <c r="C511" s="109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5.75">
      <c r="A512" s="8"/>
      <c r="B512" s="107"/>
      <c r="C512" s="109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5.75">
      <c r="A513" s="8"/>
      <c r="B513" s="107"/>
      <c r="C513" s="109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5.75">
      <c r="A514" s="8"/>
      <c r="B514" s="107"/>
      <c r="C514" s="109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5.75">
      <c r="A515" s="8"/>
      <c r="B515" s="107"/>
      <c r="C515" s="109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5.75">
      <c r="A516" s="8"/>
      <c r="B516" s="107"/>
      <c r="C516" s="109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5.75">
      <c r="A517" s="8"/>
      <c r="B517" s="107"/>
      <c r="C517" s="109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5.75">
      <c r="A518" s="8"/>
      <c r="B518" s="107"/>
      <c r="C518" s="109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5.75">
      <c r="A519" s="8"/>
      <c r="B519" s="107"/>
      <c r="C519" s="109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5.75">
      <c r="A520" s="8"/>
      <c r="B520" s="107"/>
      <c r="C520" s="109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5.75">
      <c r="A521" s="8"/>
      <c r="B521" s="107"/>
      <c r="C521" s="109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5.75">
      <c r="A522" s="8"/>
      <c r="B522" s="107"/>
      <c r="C522" s="109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5.75">
      <c r="A523" s="8"/>
      <c r="B523" s="107"/>
      <c r="C523" s="109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5.75">
      <c r="A524" s="8"/>
      <c r="B524" s="107"/>
      <c r="C524" s="109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5.75">
      <c r="A525" s="8"/>
      <c r="B525" s="107"/>
      <c r="C525" s="109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5.75">
      <c r="A526" s="8"/>
      <c r="B526" s="107"/>
      <c r="C526" s="109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5.75">
      <c r="A527" s="8"/>
      <c r="B527" s="107"/>
      <c r="C527" s="109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5.75">
      <c r="A528" s="8"/>
      <c r="B528" s="107"/>
      <c r="C528" s="109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5.75">
      <c r="A529" s="8"/>
      <c r="B529" s="107"/>
      <c r="C529" s="109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5.75">
      <c r="A530" s="8"/>
      <c r="B530" s="107"/>
      <c r="C530" s="109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5.75">
      <c r="A531" s="8"/>
      <c r="B531" s="107"/>
      <c r="C531" s="109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5.75">
      <c r="A532" s="8"/>
      <c r="B532" s="107"/>
      <c r="C532" s="109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5.75">
      <c r="A533" s="8"/>
      <c r="B533" s="107"/>
      <c r="C533" s="109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5.75">
      <c r="A534" s="8"/>
      <c r="B534" s="107"/>
      <c r="C534" s="109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5.75">
      <c r="A535" s="8"/>
      <c r="B535" s="107"/>
      <c r="C535" s="109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5.75">
      <c r="A536" s="8"/>
      <c r="B536" s="107"/>
      <c r="C536" s="109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5.75">
      <c r="A537" s="8"/>
      <c r="B537" s="107"/>
      <c r="C537" s="109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5.75">
      <c r="A538" s="8"/>
      <c r="B538" s="107"/>
      <c r="C538" s="109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5.75">
      <c r="A539" s="8"/>
      <c r="B539" s="107"/>
      <c r="C539" s="109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5.75">
      <c r="A540" s="8"/>
      <c r="B540" s="107"/>
      <c r="C540" s="109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5.75">
      <c r="A541" s="8"/>
      <c r="B541" s="107"/>
      <c r="C541" s="109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5.75">
      <c r="A542" s="8"/>
      <c r="B542" s="107"/>
      <c r="C542" s="109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5.75">
      <c r="A543" s="8"/>
      <c r="B543" s="107"/>
      <c r="C543" s="109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5.75">
      <c r="A544" s="8"/>
      <c r="B544" s="107"/>
      <c r="C544" s="109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5.75">
      <c r="A545" s="8"/>
      <c r="B545" s="107"/>
      <c r="C545" s="109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5.75">
      <c r="A546" s="8"/>
      <c r="B546" s="107"/>
      <c r="C546" s="109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5.75">
      <c r="A547" s="8"/>
      <c r="B547" s="107"/>
      <c r="C547" s="109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5.75">
      <c r="A548" s="8"/>
      <c r="B548" s="107"/>
      <c r="C548" s="109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5.75">
      <c r="A549" s="8"/>
      <c r="B549" s="107"/>
      <c r="C549" s="109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5.75">
      <c r="A550" s="8"/>
      <c r="B550" s="107"/>
      <c r="C550" s="109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5.75">
      <c r="A551" s="8"/>
      <c r="B551" s="107"/>
      <c r="C551" s="109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5.75">
      <c r="A552" s="8"/>
      <c r="B552" s="107"/>
      <c r="C552" s="109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5.75">
      <c r="A553" s="8"/>
      <c r="B553" s="107"/>
      <c r="C553" s="109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5.75">
      <c r="A554" s="8"/>
      <c r="B554" s="107"/>
      <c r="C554" s="109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5.75">
      <c r="A555" s="8"/>
      <c r="B555" s="107"/>
      <c r="C555" s="109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5.75">
      <c r="A556" s="8"/>
      <c r="B556" s="107"/>
      <c r="C556" s="109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5.75">
      <c r="A557" s="8"/>
      <c r="B557" s="107"/>
      <c r="C557" s="109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5.75">
      <c r="A558" s="8"/>
      <c r="B558" s="107"/>
      <c r="C558" s="109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5.75">
      <c r="A559" s="8"/>
      <c r="B559" s="107"/>
      <c r="C559" s="109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5.75">
      <c r="A560" s="8"/>
      <c r="B560" s="107"/>
      <c r="C560" s="109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5.75">
      <c r="A561" s="8"/>
      <c r="B561" s="107"/>
      <c r="C561" s="109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5.75">
      <c r="A562" s="8"/>
      <c r="B562" s="107"/>
      <c r="C562" s="109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5.75">
      <c r="A563" s="8"/>
      <c r="B563" s="107"/>
      <c r="C563" s="109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5.75">
      <c r="A564" s="8"/>
      <c r="B564" s="107"/>
      <c r="C564" s="109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5.75">
      <c r="A565" s="8"/>
      <c r="B565" s="107"/>
      <c r="C565" s="109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5.75">
      <c r="A566" s="8"/>
      <c r="B566" s="107"/>
      <c r="C566" s="109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5.75">
      <c r="A567" s="8"/>
      <c r="B567" s="107"/>
      <c r="C567" s="109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5.75">
      <c r="A568" s="8"/>
      <c r="B568" s="107"/>
      <c r="C568" s="109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5.75">
      <c r="A569" s="8"/>
      <c r="B569" s="107"/>
      <c r="C569" s="109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5.75">
      <c r="A570" s="8"/>
      <c r="B570" s="107"/>
      <c r="C570" s="109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5.75">
      <c r="A571" s="8"/>
      <c r="B571" s="107"/>
      <c r="C571" s="109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5.75">
      <c r="A572" s="8"/>
      <c r="B572" s="107"/>
      <c r="C572" s="109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5.75">
      <c r="A573" s="8"/>
      <c r="B573" s="107"/>
      <c r="C573" s="109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5.75">
      <c r="A574" s="8"/>
      <c r="B574" s="107"/>
      <c r="C574" s="109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5.75">
      <c r="A575" s="8"/>
      <c r="B575" s="107"/>
      <c r="C575" s="109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5.75">
      <c r="A576" s="8"/>
      <c r="B576" s="107"/>
      <c r="C576" s="109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5.75">
      <c r="A577" s="8"/>
      <c r="B577" s="107"/>
      <c r="C577" s="109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5.75">
      <c r="A578" s="8"/>
      <c r="B578" s="107"/>
      <c r="C578" s="109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5.75">
      <c r="A579" s="8"/>
      <c r="B579" s="107"/>
      <c r="C579" s="109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5.75">
      <c r="A580" s="8"/>
      <c r="B580" s="107"/>
      <c r="C580" s="109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5.75">
      <c r="A581" s="8"/>
      <c r="B581" s="107"/>
      <c r="C581" s="109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5.75">
      <c r="A582" s="8"/>
      <c r="B582" s="107"/>
      <c r="C582" s="109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5.75">
      <c r="A583" s="8"/>
      <c r="B583" s="107"/>
      <c r="C583" s="109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5.75">
      <c r="A584" s="8"/>
      <c r="B584" s="107"/>
      <c r="C584" s="109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5.75">
      <c r="A585" s="8"/>
      <c r="B585" s="107"/>
      <c r="C585" s="109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5.75">
      <c r="A586" s="8"/>
      <c r="B586" s="107"/>
      <c r="C586" s="109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5.75">
      <c r="A587" s="8"/>
      <c r="B587" s="107"/>
      <c r="C587" s="109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5.75">
      <c r="A588" s="8"/>
      <c r="B588" s="107"/>
      <c r="C588" s="109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5.75">
      <c r="A589" s="8"/>
      <c r="B589" s="107"/>
      <c r="C589" s="109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5.75">
      <c r="A590" s="8"/>
      <c r="B590" s="107"/>
      <c r="C590" s="109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5.75">
      <c r="A591" s="8"/>
      <c r="B591" s="107"/>
      <c r="C591" s="109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5.75">
      <c r="A592" s="8"/>
      <c r="B592" s="107"/>
      <c r="C592" s="109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5.75">
      <c r="A593" s="8"/>
      <c r="B593" s="107"/>
      <c r="C593" s="109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5.75">
      <c r="A594" s="8"/>
      <c r="B594" s="107"/>
      <c r="C594" s="109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5.75">
      <c r="A595" s="8"/>
      <c r="B595" s="107"/>
      <c r="C595" s="109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5.75">
      <c r="A596" s="8"/>
      <c r="B596" s="107"/>
      <c r="C596" s="109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5.75">
      <c r="A597" s="8"/>
      <c r="B597" s="107"/>
      <c r="C597" s="109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5.75">
      <c r="A598" s="8"/>
      <c r="B598" s="107"/>
      <c r="C598" s="109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5.75">
      <c r="A599" s="8"/>
      <c r="B599" s="107"/>
      <c r="C599" s="109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5.75">
      <c r="A600" s="8"/>
      <c r="B600" s="107"/>
      <c r="C600" s="109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5.75">
      <c r="A601" s="8"/>
      <c r="B601" s="107"/>
      <c r="C601" s="109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5.75">
      <c r="A602" s="8"/>
      <c r="B602" s="107"/>
      <c r="C602" s="109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5.75">
      <c r="A603" s="8"/>
      <c r="B603" s="107"/>
      <c r="C603" s="109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5.75">
      <c r="A604" s="8"/>
      <c r="B604" s="107"/>
      <c r="C604" s="109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5.75">
      <c r="A605" s="8"/>
      <c r="B605" s="107"/>
      <c r="C605" s="109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5.75">
      <c r="A606" s="8"/>
      <c r="B606" s="107"/>
      <c r="C606" s="109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5.75">
      <c r="A607" s="8"/>
      <c r="B607" s="107"/>
      <c r="C607" s="109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5.75">
      <c r="A608" s="8"/>
      <c r="B608" s="107"/>
      <c r="C608" s="109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5.75">
      <c r="A609" s="8"/>
      <c r="B609" s="107"/>
      <c r="C609" s="109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5.75">
      <c r="A610" s="8"/>
      <c r="B610" s="107"/>
      <c r="C610" s="109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5.75">
      <c r="A611" s="8"/>
      <c r="B611" s="107"/>
      <c r="C611" s="109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5.75">
      <c r="A612" s="8"/>
      <c r="B612" s="107"/>
      <c r="C612" s="109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5.75">
      <c r="A613" s="8"/>
      <c r="B613" s="107"/>
      <c r="C613" s="109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5.75">
      <c r="A614" s="8"/>
      <c r="B614" s="107"/>
      <c r="C614" s="109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5.75">
      <c r="A615" s="8"/>
      <c r="B615" s="107"/>
      <c r="C615" s="109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5.75">
      <c r="A616" s="8"/>
      <c r="B616" s="107"/>
      <c r="C616" s="109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5.75">
      <c r="A617" s="8"/>
      <c r="B617" s="107"/>
      <c r="C617" s="109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5.75">
      <c r="A618" s="8"/>
      <c r="B618" s="107"/>
      <c r="C618" s="109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5.75">
      <c r="A619" s="8"/>
      <c r="B619" s="107"/>
      <c r="C619" s="109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5.75">
      <c r="A620" s="8"/>
      <c r="B620" s="107"/>
      <c r="C620" s="109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5.75">
      <c r="A621" s="8"/>
      <c r="B621" s="107"/>
      <c r="C621" s="109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5.75">
      <c r="A622" s="8"/>
      <c r="B622" s="107"/>
      <c r="C622" s="109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5.75">
      <c r="A623" s="8"/>
      <c r="B623" s="107"/>
      <c r="C623" s="109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5.75">
      <c r="A624" s="8"/>
      <c r="B624" s="107"/>
      <c r="C624" s="109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5.75">
      <c r="A625" s="8"/>
      <c r="B625" s="107"/>
      <c r="C625" s="109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5.75">
      <c r="A626" s="8"/>
      <c r="B626" s="107"/>
      <c r="C626" s="109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5.75">
      <c r="A627" s="8"/>
      <c r="B627" s="107"/>
      <c r="C627" s="109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5.75">
      <c r="A628" s="8"/>
      <c r="B628" s="107"/>
      <c r="C628" s="109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5.75">
      <c r="A629" s="8"/>
      <c r="B629" s="107"/>
      <c r="C629" s="109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5.75">
      <c r="A630" s="8"/>
      <c r="B630" s="107"/>
      <c r="C630" s="109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5.75">
      <c r="A631" s="8"/>
      <c r="B631" s="107"/>
      <c r="C631" s="109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5.75">
      <c r="A632" s="8"/>
      <c r="B632" s="107"/>
      <c r="C632" s="109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5.75">
      <c r="A633" s="8"/>
      <c r="B633" s="107"/>
      <c r="C633" s="109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5.75">
      <c r="A634" s="8"/>
      <c r="B634" s="107"/>
      <c r="C634" s="109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5.75">
      <c r="A635" s="8"/>
      <c r="B635" s="107"/>
      <c r="C635" s="109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5.75">
      <c r="A636" s="8"/>
      <c r="B636" s="107"/>
      <c r="C636" s="109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5.75">
      <c r="A637" s="8"/>
      <c r="B637" s="107"/>
      <c r="C637" s="109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5.75">
      <c r="A638" s="8"/>
      <c r="B638" s="107"/>
      <c r="C638" s="109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5.75">
      <c r="A639" s="8"/>
      <c r="B639" s="107"/>
      <c r="C639" s="109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5.75">
      <c r="A640" s="8"/>
      <c r="B640" s="107"/>
      <c r="C640" s="109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5.75">
      <c r="A641" s="8"/>
      <c r="B641" s="107"/>
      <c r="C641" s="109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5.75">
      <c r="A642" s="8"/>
      <c r="B642" s="107"/>
      <c r="C642" s="109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5.75">
      <c r="A643" s="8"/>
      <c r="B643" s="107"/>
      <c r="C643" s="109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5.75">
      <c r="A644" s="8"/>
      <c r="B644" s="107"/>
      <c r="C644" s="109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5.75">
      <c r="A645" s="8"/>
      <c r="B645" s="107"/>
      <c r="C645" s="109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5.75">
      <c r="A646" s="8"/>
      <c r="B646" s="107"/>
      <c r="C646" s="109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5.75">
      <c r="A647" s="8"/>
      <c r="B647" s="107"/>
      <c r="C647" s="109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5.75">
      <c r="A648" s="8"/>
      <c r="B648" s="107"/>
      <c r="C648" s="109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5.75">
      <c r="A649" s="8"/>
      <c r="B649" s="107"/>
      <c r="C649" s="109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5.75">
      <c r="A650" s="8"/>
      <c r="B650" s="107"/>
      <c r="C650" s="109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5.75">
      <c r="A651" s="8"/>
      <c r="B651" s="107"/>
      <c r="C651" s="109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5.75">
      <c r="A652" s="8"/>
      <c r="B652" s="107"/>
      <c r="C652" s="109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5.75">
      <c r="A653" s="8"/>
      <c r="B653" s="107"/>
      <c r="C653" s="109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5.75">
      <c r="A654" s="8"/>
      <c r="B654" s="107"/>
      <c r="C654" s="109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5.75">
      <c r="A655" s="8"/>
      <c r="B655" s="107"/>
      <c r="C655" s="109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5.75">
      <c r="A656" s="8"/>
      <c r="B656" s="107"/>
      <c r="C656" s="109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5.75">
      <c r="A657" s="8"/>
      <c r="B657" s="107"/>
      <c r="C657" s="109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5.75">
      <c r="A658" s="8"/>
      <c r="B658" s="107"/>
      <c r="C658" s="109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5.75">
      <c r="A659" s="8"/>
      <c r="B659" s="107"/>
      <c r="C659" s="109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5.75">
      <c r="A660" s="8"/>
      <c r="B660" s="107"/>
      <c r="C660" s="109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5.75">
      <c r="A661" s="8"/>
      <c r="B661" s="107"/>
      <c r="C661" s="109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5.75">
      <c r="A662" s="8"/>
      <c r="B662" s="107"/>
      <c r="C662" s="109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5.75">
      <c r="A663" s="8"/>
      <c r="B663" s="107"/>
      <c r="C663" s="109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5.75">
      <c r="A664" s="8"/>
      <c r="B664" s="107"/>
      <c r="C664" s="109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5.75">
      <c r="A665" s="8"/>
      <c r="B665" s="107"/>
      <c r="C665" s="109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5.75">
      <c r="A666" s="8"/>
      <c r="B666" s="107"/>
      <c r="C666" s="109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5.75">
      <c r="A667" s="8"/>
      <c r="B667" s="107"/>
      <c r="C667" s="109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5.75">
      <c r="A668" s="8"/>
      <c r="B668" s="107"/>
      <c r="C668" s="109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5.75">
      <c r="A669" s="8"/>
      <c r="B669" s="107"/>
      <c r="C669" s="109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5.75">
      <c r="A670" s="8"/>
      <c r="B670" s="107"/>
      <c r="C670" s="109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5.75">
      <c r="A671" s="8"/>
      <c r="B671" s="107"/>
      <c r="C671" s="109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5.75">
      <c r="A672" s="8"/>
      <c r="B672" s="107"/>
      <c r="C672" s="109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5.75">
      <c r="A673" s="8"/>
      <c r="B673" s="107"/>
      <c r="C673" s="109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5.75">
      <c r="A674" s="8"/>
      <c r="B674" s="107"/>
      <c r="C674" s="109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5.75">
      <c r="A675" s="8"/>
      <c r="B675" s="107"/>
      <c r="C675" s="109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5.75">
      <c r="A676" s="8"/>
      <c r="B676" s="107"/>
      <c r="C676" s="109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5.75">
      <c r="A677" s="8"/>
      <c r="B677" s="107"/>
      <c r="C677" s="109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5.75">
      <c r="A678" s="8"/>
      <c r="B678" s="107"/>
      <c r="C678" s="109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5.75">
      <c r="A679" s="8"/>
      <c r="B679" s="107"/>
      <c r="C679" s="109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5.75">
      <c r="A680" s="8"/>
      <c r="B680" s="107"/>
      <c r="C680" s="109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5.75">
      <c r="A681" s="8"/>
      <c r="B681" s="107"/>
      <c r="C681" s="109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5.75">
      <c r="A682" s="8"/>
      <c r="B682" s="107"/>
      <c r="C682" s="109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5.75">
      <c r="A683" s="8"/>
      <c r="B683" s="107"/>
      <c r="C683" s="109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5.75">
      <c r="A684" s="8"/>
      <c r="B684" s="107"/>
      <c r="C684" s="109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5.75">
      <c r="A685" s="8"/>
      <c r="B685" s="107"/>
      <c r="C685" s="109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5.75">
      <c r="A686" s="8"/>
      <c r="B686" s="107"/>
      <c r="C686" s="109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5.75">
      <c r="A687" s="8"/>
      <c r="B687" s="107"/>
      <c r="C687" s="109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5.75">
      <c r="A688" s="8"/>
      <c r="B688" s="107"/>
      <c r="C688" s="109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5.75">
      <c r="A689" s="8"/>
      <c r="B689" s="107"/>
      <c r="C689" s="109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5.75">
      <c r="A690" s="8"/>
      <c r="B690" s="107"/>
      <c r="C690" s="109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5.75">
      <c r="A691" s="8"/>
      <c r="B691" s="107"/>
      <c r="C691" s="109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5.75">
      <c r="A692" s="8"/>
      <c r="B692" s="107"/>
      <c r="C692" s="109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5.75">
      <c r="A693" s="8"/>
      <c r="B693" s="107"/>
      <c r="C693" s="109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5.75">
      <c r="A694" s="8"/>
      <c r="B694" s="107"/>
      <c r="C694" s="109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5.75">
      <c r="A695" s="8"/>
      <c r="B695" s="107"/>
      <c r="C695" s="109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5.75">
      <c r="A696" s="8"/>
      <c r="B696" s="107"/>
      <c r="C696" s="109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5.75">
      <c r="A697" s="8"/>
      <c r="B697" s="107"/>
      <c r="C697" s="109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5.75">
      <c r="A698" s="8"/>
      <c r="B698" s="107"/>
      <c r="C698" s="109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5.75">
      <c r="A699" s="8"/>
      <c r="B699" s="107"/>
      <c r="C699" s="109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5.75">
      <c r="A700" s="8"/>
      <c r="B700" s="107"/>
      <c r="C700" s="109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5.75">
      <c r="A701" s="8"/>
      <c r="B701" s="107"/>
      <c r="C701" s="109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5.75">
      <c r="A702" s="8"/>
      <c r="B702" s="107"/>
      <c r="C702" s="109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5.75">
      <c r="A703" s="8"/>
      <c r="B703" s="107"/>
      <c r="C703" s="109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5.75">
      <c r="A704" s="8"/>
      <c r="B704" s="107"/>
      <c r="C704" s="109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5.75">
      <c r="A705" s="8"/>
      <c r="B705" s="107"/>
      <c r="C705" s="109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5.75">
      <c r="A706" s="8"/>
      <c r="B706" s="107"/>
      <c r="C706" s="109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5.75">
      <c r="A707" s="8"/>
      <c r="B707" s="107"/>
      <c r="C707" s="109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5.75">
      <c r="A708" s="8"/>
      <c r="B708" s="107"/>
      <c r="C708" s="109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5.75">
      <c r="A709" s="8"/>
      <c r="B709" s="107"/>
      <c r="C709" s="109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5.75">
      <c r="A710" s="8"/>
      <c r="B710" s="107"/>
      <c r="C710" s="109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5.75">
      <c r="A711" s="8"/>
      <c r="B711" s="107"/>
      <c r="C711" s="109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5.75">
      <c r="A712" s="8"/>
      <c r="B712" s="107"/>
      <c r="C712" s="109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5.75">
      <c r="A713" s="8"/>
      <c r="B713" s="107"/>
      <c r="C713" s="109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5.75">
      <c r="A714" s="8"/>
      <c r="B714" s="107"/>
      <c r="C714" s="109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5.75">
      <c r="A715" s="8"/>
      <c r="B715" s="107"/>
      <c r="C715" s="109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5.75">
      <c r="A716" s="8"/>
      <c r="B716" s="107"/>
      <c r="C716" s="109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5.75">
      <c r="A717" s="8"/>
      <c r="B717" s="107"/>
      <c r="C717" s="109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5.75">
      <c r="A718" s="8"/>
      <c r="B718" s="107"/>
      <c r="C718" s="109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5.75">
      <c r="A719" s="8"/>
      <c r="B719" s="107"/>
      <c r="C719" s="109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5.75">
      <c r="A720" s="8"/>
      <c r="B720" s="107"/>
      <c r="C720" s="109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5.75">
      <c r="A721" s="8"/>
      <c r="B721" s="107"/>
      <c r="C721" s="109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5.75">
      <c r="A722" s="8"/>
      <c r="B722" s="107"/>
      <c r="C722" s="109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5.75">
      <c r="A723" s="8"/>
      <c r="B723" s="107"/>
      <c r="C723" s="109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5.75">
      <c r="A724" s="8"/>
      <c r="B724" s="107"/>
      <c r="C724" s="109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5.75">
      <c r="A725" s="8"/>
      <c r="B725" s="107"/>
      <c r="C725" s="109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5.75">
      <c r="A726" s="8"/>
      <c r="B726" s="107"/>
      <c r="C726" s="109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5.75">
      <c r="A727" s="8"/>
      <c r="B727" s="107"/>
      <c r="C727" s="109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5.75">
      <c r="A728" s="8"/>
      <c r="B728" s="107"/>
      <c r="C728" s="109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5.75">
      <c r="A729" s="8"/>
      <c r="B729" s="107"/>
      <c r="C729" s="109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5.75">
      <c r="A730" s="8"/>
      <c r="B730" s="107"/>
      <c r="C730" s="109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5.75">
      <c r="A731" s="8"/>
      <c r="B731" s="107"/>
      <c r="C731" s="109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5.75">
      <c r="A732" s="8"/>
      <c r="B732" s="107"/>
      <c r="C732" s="109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5.75">
      <c r="A733" s="8"/>
      <c r="B733" s="107"/>
      <c r="C733" s="109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5.75">
      <c r="A734" s="8"/>
      <c r="B734" s="107"/>
      <c r="C734" s="109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5.75">
      <c r="A735" s="8"/>
      <c r="B735" s="107"/>
      <c r="C735" s="109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5.75">
      <c r="A736" s="8"/>
      <c r="B736" s="107"/>
      <c r="C736" s="109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5.75">
      <c r="A737" s="8"/>
      <c r="B737" s="107"/>
      <c r="C737" s="109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5.75">
      <c r="A738" s="8"/>
      <c r="B738" s="107"/>
      <c r="C738" s="109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5.75">
      <c r="A739" s="8"/>
      <c r="B739" s="107"/>
      <c r="C739" s="109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5.75">
      <c r="A740" s="8"/>
      <c r="B740" s="107"/>
      <c r="C740" s="109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5.75">
      <c r="A741" s="8"/>
      <c r="B741" s="107"/>
      <c r="C741" s="109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5.75">
      <c r="A742" s="8"/>
      <c r="B742" s="107"/>
      <c r="C742" s="109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5.75">
      <c r="A743" s="8"/>
      <c r="B743" s="107"/>
      <c r="C743" s="109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5.75">
      <c r="A744" s="8"/>
      <c r="B744" s="107"/>
      <c r="C744" s="109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5.75">
      <c r="A745" s="8"/>
      <c r="B745" s="107"/>
      <c r="C745" s="109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5.75">
      <c r="A746" s="8"/>
      <c r="B746" s="107"/>
      <c r="C746" s="109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5.75">
      <c r="A747" s="8"/>
      <c r="B747" s="107"/>
      <c r="C747" s="109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5.75">
      <c r="A748" s="8"/>
      <c r="B748" s="107"/>
      <c r="C748" s="109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5.75">
      <c r="A749" s="8"/>
      <c r="B749" s="107"/>
      <c r="C749" s="109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5.75">
      <c r="A750" s="8"/>
      <c r="B750" s="107"/>
      <c r="C750" s="109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5.75">
      <c r="A751" s="8"/>
      <c r="B751" s="107"/>
      <c r="C751" s="109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5.75">
      <c r="A752" s="8"/>
      <c r="B752" s="107"/>
      <c r="C752" s="109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5.75">
      <c r="A753" s="8"/>
      <c r="B753" s="107"/>
      <c r="C753" s="109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5.75">
      <c r="A754" s="8"/>
      <c r="B754" s="107"/>
      <c r="C754" s="109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5.75">
      <c r="A755" s="8"/>
      <c r="B755" s="107"/>
      <c r="C755" s="109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5.75">
      <c r="A756" s="8"/>
      <c r="B756" s="107"/>
      <c r="C756" s="109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5.75">
      <c r="A757" s="8"/>
      <c r="B757" s="107"/>
      <c r="C757" s="109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5.75">
      <c r="A758" s="8"/>
      <c r="B758" s="107"/>
      <c r="C758" s="109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5.75">
      <c r="A759" s="8"/>
      <c r="B759" s="107"/>
      <c r="C759" s="109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5.75">
      <c r="A760" s="8"/>
      <c r="B760" s="107"/>
      <c r="C760" s="109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5.75">
      <c r="A761" s="8"/>
      <c r="B761" s="107"/>
      <c r="C761" s="109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5.75">
      <c r="A762" s="8"/>
      <c r="B762" s="107"/>
      <c r="C762" s="109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5.75">
      <c r="A763" s="8"/>
      <c r="B763" s="107"/>
      <c r="C763" s="109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5.75">
      <c r="A764" s="8"/>
      <c r="B764" s="107"/>
      <c r="C764" s="109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5.75">
      <c r="A765" s="8"/>
      <c r="B765" s="107"/>
      <c r="C765" s="109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5.75">
      <c r="A766" s="8"/>
      <c r="B766" s="107"/>
      <c r="C766" s="109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5.75">
      <c r="A767" s="8"/>
      <c r="B767" s="107"/>
      <c r="C767" s="109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5.75">
      <c r="A768" s="8"/>
      <c r="B768" s="107"/>
      <c r="C768" s="109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5.75">
      <c r="A769" s="8"/>
      <c r="B769" s="107"/>
      <c r="C769" s="109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5.75">
      <c r="A770" s="8"/>
      <c r="B770" s="107"/>
      <c r="C770" s="109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5.75">
      <c r="A771" s="8"/>
      <c r="B771" s="107"/>
      <c r="C771" s="109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5.75">
      <c r="A772" s="8"/>
      <c r="B772" s="107"/>
      <c r="C772" s="109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5.75">
      <c r="A773" s="8"/>
      <c r="B773" s="107"/>
      <c r="C773" s="109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5.75">
      <c r="A774" s="8"/>
      <c r="B774" s="107"/>
      <c r="C774" s="109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5.75">
      <c r="A775" s="8"/>
      <c r="B775" s="107"/>
      <c r="C775" s="109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5.75">
      <c r="A776" s="8"/>
      <c r="B776" s="107"/>
      <c r="C776" s="109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5.75">
      <c r="A777" s="8"/>
      <c r="B777" s="107"/>
      <c r="C777" s="109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5.75">
      <c r="A778" s="8"/>
      <c r="B778" s="107"/>
      <c r="C778" s="109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5.75">
      <c r="A779" s="8"/>
      <c r="B779" s="107"/>
      <c r="C779" s="109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5.75">
      <c r="A780" s="8"/>
      <c r="B780" s="107"/>
      <c r="C780" s="109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5.75">
      <c r="A781" s="8"/>
      <c r="B781" s="107"/>
      <c r="C781" s="109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5.75">
      <c r="A782" s="8"/>
      <c r="B782" s="107"/>
      <c r="C782" s="109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5.75">
      <c r="A783" s="8"/>
      <c r="B783" s="107"/>
      <c r="C783" s="109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5.75">
      <c r="A784" s="8"/>
      <c r="B784" s="107"/>
      <c r="C784" s="109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5.75">
      <c r="A785" s="8"/>
      <c r="B785" s="107"/>
      <c r="C785" s="109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5.75">
      <c r="A786" s="8"/>
      <c r="B786" s="107"/>
      <c r="C786" s="109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5.75">
      <c r="A787" s="8"/>
      <c r="B787" s="107"/>
      <c r="C787" s="109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5.75">
      <c r="A788" s="8"/>
      <c r="B788" s="107"/>
      <c r="C788" s="109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5.75">
      <c r="A789" s="8"/>
      <c r="B789" s="107"/>
      <c r="C789" s="109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5.75">
      <c r="A790" s="8"/>
      <c r="B790" s="107"/>
      <c r="C790" s="109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5.75">
      <c r="A791" s="8"/>
      <c r="B791" s="107"/>
      <c r="C791" s="109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5.75">
      <c r="A792" s="8"/>
      <c r="B792" s="107"/>
      <c r="C792" s="109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5.75">
      <c r="A793" s="8"/>
      <c r="B793" s="107"/>
      <c r="C793" s="109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5.75">
      <c r="A794" s="8"/>
      <c r="B794" s="107"/>
      <c r="C794" s="109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5.75">
      <c r="A795" s="8"/>
      <c r="B795" s="107"/>
      <c r="C795" s="109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5.75">
      <c r="A796" s="8"/>
      <c r="B796" s="107"/>
      <c r="C796" s="109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5.75">
      <c r="A797" s="8"/>
      <c r="B797" s="107"/>
      <c r="C797" s="109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5.75">
      <c r="A798" s="8"/>
      <c r="B798" s="107"/>
      <c r="C798" s="109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5.75">
      <c r="A799" s="8"/>
      <c r="B799" s="107"/>
      <c r="C799" s="109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5.75">
      <c r="A800" s="8"/>
      <c r="B800" s="107"/>
      <c r="C800" s="109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5.75">
      <c r="A801" s="8"/>
      <c r="B801" s="107"/>
      <c r="C801" s="109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5.75">
      <c r="A802" s="8"/>
      <c r="B802" s="107"/>
      <c r="C802" s="109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5.75">
      <c r="A803" s="8"/>
      <c r="B803" s="107"/>
      <c r="C803" s="109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5.75">
      <c r="A804" s="8"/>
      <c r="B804" s="107"/>
      <c r="C804" s="109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5.75">
      <c r="A805" s="8"/>
      <c r="B805" s="107"/>
      <c r="C805" s="109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5.75">
      <c r="A806" s="8"/>
      <c r="B806" s="107"/>
      <c r="C806" s="109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5.75">
      <c r="A807" s="8"/>
      <c r="B807" s="107"/>
      <c r="C807" s="109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5.75">
      <c r="A808" s="8"/>
      <c r="B808" s="107"/>
      <c r="C808" s="109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5.75">
      <c r="A809" s="8"/>
      <c r="B809" s="107"/>
      <c r="C809" s="109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5.75">
      <c r="A810" s="8"/>
      <c r="B810" s="107"/>
      <c r="C810" s="109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5.75">
      <c r="A811" s="8"/>
      <c r="B811" s="107"/>
      <c r="C811" s="109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5.75">
      <c r="A812" s="8"/>
      <c r="B812" s="107"/>
      <c r="C812" s="109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5.75">
      <c r="A813" s="8"/>
      <c r="B813" s="107"/>
      <c r="C813" s="109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5.75">
      <c r="A814" s="8"/>
      <c r="B814" s="107"/>
      <c r="C814" s="109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5.75">
      <c r="A815" s="8"/>
      <c r="B815" s="107"/>
      <c r="C815" s="109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5.75">
      <c r="A816" s="8"/>
      <c r="B816" s="107"/>
      <c r="C816" s="109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5.75">
      <c r="A817" s="8"/>
      <c r="B817" s="107"/>
      <c r="C817" s="109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5.75">
      <c r="A818" s="8"/>
      <c r="B818" s="107"/>
      <c r="C818" s="109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5.75">
      <c r="A819" s="8"/>
      <c r="B819" s="107"/>
      <c r="C819" s="109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5.75">
      <c r="A820" s="8"/>
      <c r="B820" s="107"/>
      <c r="C820" s="109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5.75">
      <c r="A821" s="8"/>
      <c r="B821" s="107"/>
      <c r="C821" s="109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5.75">
      <c r="A822" s="8"/>
      <c r="B822" s="107"/>
      <c r="C822" s="109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5.75">
      <c r="A823" s="8"/>
      <c r="B823" s="107"/>
      <c r="C823" s="109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5.75">
      <c r="A824" s="8"/>
      <c r="B824" s="107"/>
      <c r="C824" s="109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5.75">
      <c r="A825" s="8"/>
      <c r="B825" s="107"/>
      <c r="C825" s="109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5.75">
      <c r="A826" s="8"/>
      <c r="B826" s="107"/>
      <c r="C826" s="109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5.75">
      <c r="A827" s="8"/>
      <c r="B827" s="107"/>
      <c r="C827" s="109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5.75">
      <c r="A828" s="8"/>
      <c r="B828" s="107"/>
      <c r="C828" s="109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5.75">
      <c r="A829" s="8"/>
      <c r="B829" s="107"/>
      <c r="C829" s="109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5.75">
      <c r="A830" s="8"/>
      <c r="B830" s="107"/>
      <c r="C830" s="109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5.75">
      <c r="A831" s="8"/>
      <c r="B831" s="107"/>
      <c r="C831" s="109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5.75">
      <c r="A832" s="8"/>
      <c r="B832" s="107"/>
      <c r="C832" s="109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5.75">
      <c r="A833" s="8"/>
      <c r="B833" s="107"/>
      <c r="C833" s="109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5.75">
      <c r="A834" s="8"/>
      <c r="B834" s="107"/>
      <c r="C834" s="109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5.75">
      <c r="A835" s="8"/>
      <c r="B835" s="107"/>
      <c r="C835" s="109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5.75">
      <c r="A836" s="8"/>
      <c r="B836" s="107"/>
      <c r="C836" s="109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5.75">
      <c r="A837" s="8"/>
      <c r="B837" s="107"/>
      <c r="C837" s="109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5.75">
      <c r="A838" s="8"/>
      <c r="B838" s="107"/>
      <c r="C838" s="109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5.75">
      <c r="A839" s="8"/>
      <c r="B839" s="107"/>
      <c r="C839" s="109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5.75">
      <c r="A840" s="8"/>
      <c r="B840" s="107"/>
      <c r="C840" s="109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5.75">
      <c r="A841" s="8"/>
      <c r="B841" s="107"/>
      <c r="C841" s="109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5.75">
      <c r="A842" s="8"/>
      <c r="B842" s="107"/>
      <c r="C842" s="109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5.75">
      <c r="A843" s="8"/>
      <c r="B843" s="107"/>
      <c r="C843" s="109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5.75">
      <c r="A844" s="8"/>
      <c r="B844" s="107"/>
      <c r="C844" s="109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5.75">
      <c r="A845" s="8"/>
      <c r="B845" s="107"/>
      <c r="C845" s="109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5.75">
      <c r="A846" s="8"/>
      <c r="B846" s="107"/>
      <c r="C846" s="109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5.75">
      <c r="A847" s="8"/>
      <c r="B847" s="107"/>
      <c r="C847" s="109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5.75">
      <c r="A848" s="8"/>
      <c r="B848" s="107"/>
      <c r="C848" s="109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5.75">
      <c r="A849" s="8"/>
      <c r="B849" s="107"/>
      <c r="C849" s="109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5.75">
      <c r="A850" s="8"/>
      <c r="B850" s="107"/>
      <c r="C850" s="109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5.75">
      <c r="A851" s="8"/>
      <c r="B851" s="107"/>
      <c r="C851" s="109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5.75">
      <c r="A852" s="8"/>
      <c r="B852" s="107"/>
      <c r="C852" s="109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5.75">
      <c r="A853" s="8"/>
      <c r="B853" s="107"/>
      <c r="C853" s="109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5.75">
      <c r="A854" s="8"/>
      <c r="B854" s="107"/>
      <c r="C854" s="109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5.75">
      <c r="A855" s="8"/>
      <c r="B855" s="107"/>
      <c r="C855" s="109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5.75">
      <c r="A856" s="8"/>
      <c r="B856" s="107"/>
      <c r="C856" s="109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5.75">
      <c r="A857" s="8"/>
      <c r="B857" s="107"/>
      <c r="C857" s="109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5.75">
      <c r="A858" s="8"/>
      <c r="B858" s="107"/>
      <c r="C858" s="109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5.75">
      <c r="A859" s="8"/>
      <c r="B859" s="107"/>
      <c r="C859" s="109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5.75">
      <c r="A860" s="8"/>
      <c r="B860" s="107"/>
      <c r="C860" s="109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5.75">
      <c r="A861" s="8"/>
      <c r="B861" s="107"/>
      <c r="C861" s="109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5.75">
      <c r="A862" s="8"/>
      <c r="B862" s="107"/>
      <c r="C862" s="109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5.75">
      <c r="A863" s="8"/>
      <c r="B863" s="107"/>
      <c r="C863" s="109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5.75">
      <c r="A864" s="8"/>
      <c r="B864" s="107"/>
      <c r="C864" s="109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5.75">
      <c r="A865" s="8"/>
      <c r="B865" s="107"/>
      <c r="C865" s="109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5.75">
      <c r="A866" s="8"/>
      <c r="B866" s="107"/>
      <c r="C866" s="109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5.75">
      <c r="A867" s="8"/>
      <c r="B867" s="107"/>
      <c r="C867" s="109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5.75">
      <c r="A868" s="8"/>
      <c r="B868" s="107"/>
      <c r="C868" s="109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5.75">
      <c r="A869" s="8"/>
      <c r="B869" s="107"/>
      <c r="C869" s="109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5.75">
      <c r="A870" s="8"/>
      <c r="B870" s="107"/>
      <c r="C870" s="109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5.75">
      <c r="A871" s="8"/>
      <c r="B871" s="107"/>
      <c r="C871" s="109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5.75">
      <c r="A872" s="8"/>
      <c r="B872" s="107"/>
      <c r="C872" s="109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5.75">
      <c r="A873" s="8"/>
      <c r="B873" s="107"/>
      <c r="C873" s="109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5.75">
      <c r="A874" s="8"/>
      <c r="B874" s="107"/>
      <c r="C874" s="109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5.75">
      <c r="A875" s="8"/>
      <c r="B875" s="107"/>
      <c r="C875" s="109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5.75">
      <c r="A876" s="8"/>
      <c r="B876" s="107"/>
      <c r="C876" s="109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5.75">
      <c r="A877" s="8"/>
      <c r="B877" s="107"/>
      <c r="C877" s="109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5.75">
      <c r="A878" s="8"/>
      <c r="B878" s="107"/>
      <c r="C878" s="109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5.75">
      <c r="A879" s="8"/>
      <c r="B879" s="107"/>
      <c r="C879" s="109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5.75">
      <c r="A880" s="8"/>
      <c r="B880" s="107"/>
      <c r="C880" s="109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5.75">
      <c r="A881" s="8"/>
      <c r="B881" s="107"/>
      <c r="C881" s="109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5.75">
      <c r="A882" s="8"/>
      <c r="B882" s="107"/>
      <c r="C882" s="109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5.75">
      <c r="A883" s="8"/>
      <c r="B883" s="107"/>
      <c r="C883" s="109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5.75">
      <c r="A884" s="8"/>
      <c r="B884" s="107"/>
      <c r="C884" s="109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5.75">
      <c r="A885" s="8"/>
      <c r="B885" s="107"/>
      <c r="C885" s="109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5.75">
      <c r="A886" s="8"/>
      <c r="B886" s="107"/>
      <c r="C886" s="109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5.75">
      <c r="A887" s="8"/>
      <c r="B887" s="107"/>
      <c r="C887" s="109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5.75">
      <c r="A888" s="8"/>
      <c r="B888" s="107"/>
      <c r="C888" s="109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5.75">
      <c r="A889" s="8"/>
      <c r="B889" s="107"/>
      <c r="C889" s="109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5.75">
      <c r="A890" s="8"/>
      <c r="B890" s="107"/>
      <c r="C890" s="109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5.75">
      <c r="A891" s="8"/>
      <c r="B891" s="107"/>
      <c r="C891" s="109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5.75">
      <c r="A892" s="8"/>
      <c r="B892" s="107"/>
      <c r="C892" s="109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5.75">
      <c r="A893" s="8"/>
      <c r="B893" s="107"/>
      <c r="C893" s="109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5.75">
      <c r="A894" s="8"/>
      <c r="B894" s="107"/>
      <c r="C894" s="109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5.75">
      <c r="A895" s="8"/>
      <c r="B895" s="107"/>
      <c r="C895" s="109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5.75">
      <c r="A896" s="8"/>
      <c r="B896" s="107"/>
      <c r="C896" s="109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5.75">
      <c r="A897" s="8"/>
      <c r="B897" s="107"/>
      <c r="C897" s="109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5.75">
      <c r="A898" s="8"/>
      <c r="B898" s="107"/>
      <c r="C898" s="109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5.75">
      <c r="A899" s="8"/>
      <c r="B899" s="107"/>
      <c r="C899" s="109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5.75">
      <c r="A900" s="8"/>
      <c r="B900" s="107"/>
      <c r="C900" s="109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5.75">
      <c r="A901" s="8"/>
      <c r="B901" s="107"/>
      <c r="C901" s="109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5.75">
      <c r="A902" s="8"/>
      <c r="B902" s="107"/>
      <c r="C902" s="109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5.75">
      <c r="A903" s="8"/>
      <c r="B903" s="107"/>
      <c r="C903" s="109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5.75">
      <c r="A904" s="8"/>
      <c r="B904" s="107"/>
      <c r="C904" s="109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5.75">
      <c r="A905" s="8"/>
      <c r="B905" s="107"/>
      <c r="C905" s="109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5.75">
      <c r="A906" s="8"/>
      <c r="B906" s="107"/>
      <c r="C906" s="109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5.75">
      <c r="A907" s="8"/>
      <c r="B907" s="107"/>
      <c r="C907" s="109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5.75">
      <c r="A908" s="8"/>
      <c r="B908" s="107"/>
      <c r="C908" s="109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5.75">
      <c r="A909" s="8"/>
      <c r="B909" s="107"/>
      <c r="C909" s="109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5.75">
      <c r="A910" s="8"/>
      <c r="B910" s="107"/>
      <c r="C910" s="109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5.75">
      <c r="A911" s="8"/>
      <c r="B911" s="107"/>
      <c r="C911" s="109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5.75">
      <c r="A912" s="8"/>
      <c r="B912" s="107"/>
      <c r="C912" s="109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5.75">
      <c r="A913" s="8"/>
      <c r="B913" s="107"/>
      <c r="C913" s="109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5.75">
      <c r="A914" s="8"/>
      <c r="B914" s="107"/>
      <c r="C914" s="109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5.75">
      <c r="A915" s="8"/>
      <c r="B915" s="107"/>
      <c r="C915" s="109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5.75">
      <c r="A916" s="8"/>
      <c r="B916" s="107"/>
      <c r="C916" s="109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5.75">
      <c r="A917" s="8"/>
      <c r="B917" s="107"/>
      <c r="C917" s="109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5.75">
      <c r="A918" s="8"/>
      <c r="B918" s="107"/>
      <c r="C918" s="109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5.75">
      <c r="A919" s="8"/>
      <c r="B919" s="107"/>
      <c r="C919" s="109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5.75">
      <c r="A920" s="8"/>
      <c r="B920" s="107"/>
      <c r="C920" s="109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5.75">
      <c r="A921" s="8"/>
      <c r="B921" s="107"/>
      <c r="C921" s="109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5.75">
      <c r="A922" s="8"/>
      <c r="B922" s="107"/>
      <c r="C922" s="109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5.75">
      <c r="A923" s="8"/>
      <c r="B923" s="107"/>
      <c r="C923" s="109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5.75">
      <c r="A924" s="8"/>
      <c r="B924" s="107"/>
      <c r="C924" s="109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5.75">
      <c r="A925" s="8"/>
      <c r="B925" s="107"/>
      <c r="C925" s="109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5.75">
      <c r="A926" s="8"/>
      <c r="B926" s="107"/>
      <c r="C926" s="109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5.75">
      <c r="A927" s="8"/>
      <c r="B927" s="107"/>
      <c r="C927" s="109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5.75">
      <c r="A928" s="8"/>
      <c r="B928" s="107"/>
      <c r="C928" s="109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5.75">
      <c r="A929" s="8"/>
      <c r="B929" s="107"/>
      <c r="C929" s="109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5.75">
      <c r="A930" s="8"/>
      <c r="B930" s="107"/>
      <c r="C930" s="109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5.75">
      <c r="A931" s="8"/>
      <c r="B931" s="107"/>
      <c r="C931" s="109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5.75">
      <c r="A932" s="8"/>
      <c r="B932" s="107"/>
      <c r="C932" s="109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5.75">
      <c r="A933" s="8"/>
      <c r="B933" s="107"/>
      <c r="C933" s="109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5.75">
      <c r="A934" s="8"/>
      <c r="B934" s="107"/>
      <c r="C934" s="109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5.75">
      <c r="A935" s="8"/>
      <c r="B935" s="107"/>
      <c r="C935" s="109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5.75">
      <c r="A936" s="8"/>
      <c r="B936" s="107"/>
      <c r="C936" s="109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5.75">
      <c r="A937" s="8"/>
      <c r="B937" s="107"/>
      <c r="C937" s="109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5.75">
      <c r="A938" s="8"/>
      <c r="B938" s="107"/>
      <c r="C938" s="109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5.75">
      <c r="A939" s="8"/>
      <c r="B939" s="107"/>
      <c r="C939" s="109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5.75">
      <c r="A940" s="8"/>
      <c r="B940" s="107"/>
      <c r="C940" s="109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5.75">
      <c r="A941" s="8"/>
      <c r="B941" s="107"/>
      <c r="C941" s="109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5.75">
      <c r="A942" s="8"/>
      <c r="B942" s="107"/>
      <c r="C942" s="109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5.75">
      <c r="A943" s="8"/>
      <c r="B943" s="107"/>
      <c r="C943" s="109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5.75">
      <c r="A944" s="8"/>
      <c r="B944" s="107"/>
      <c r="C944" s="109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5.75">
      <c r="A945" s="8"/>
      <c r="B945" s="107"/>
      <c r="C945" s="109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5.75">
      <c r="A946" s="8"/>
      <c r="B946" s="107"/>
      <c r="C946" s="109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5.75">
      <c r="A947" s="8"/>
      <c r="B947" s="107"/>
      <c r="C947" s="109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5.75">
      <c r="A948" s="8"/>
      <c r="B948" s="107"/>
      <c r="C948" s="109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5.75">
      <c r="A949" s="8"/>
      <c r="B949" s="107"/>
      <c r="C949" s="109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5.75">
      <c r="A950" s="8"/>
      <c r="B950" s="107"/>
      <c r="C950" s="109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5.75">
      <c r="A951" s="8"/>
      <c r="B951" s="107"/>
      <c r="C951" s="109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5.75">
      <c r="A952" s="8"/>
      <c r="B952" s="107"/>
      <c r="C952" s="109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5.75">
      <c r="A953" s="8"/>
      <c r="B953" s="107"/>
      <c r="C953" s="109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5.75">
      <c r="A954" s="8"/>
      <c r="B954" s="107"/>
      <c r="C954" s="109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5.75">
      <c r="A955" s="8"/>
      <c r="B955" s="107"/>
      <c r="C955" s="109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5.75">
      <c r="A956" s="8"/>
      <c r="B956" s="107"/>
      <c r="C956" s="109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5.75">
      <c r="A957" s="8"/>
      <c r="B957" s="107"/>
      <c r="C957" s="109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5.75">
      <c r="A958" s="8"/>
      <c r="B958" s="107"/>
      <c r="C958" s="109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5.75">
      <c r="A959" s="8"/>
      <c r="B959" s="107"/>
      <c r="C959" s="109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5.75">
      <c r="A960" s="8"/>
      <c r="B960" s="107"/>
      <c r="C960" s="109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5.75">
      <c r="A961" s="8"/>
      <c r="B961" s="107"/>
      <c r="C961" s="109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5.75">
      <c r="A962" s="8"/>
      <c r="B962" s="107"/>
      <c r="C962" s="109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5.75">
      <c r="A963" s="8"/>
      <c r="B963" s="107"/>
      <c r="C963" s="109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5.75">
      <c r="A964" s="8"/>
      <c r="B964" s="107"/>
      <c r="C964" s="109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5.75">
      <c r="A965" s="8"/>
      <c r="B965" s="107"/>
      <c r="C965" s="109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5.75">
      <c r="A966" s="8"/>
      <c r="B966" s="107"/>
      <c r="C966" s="109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5.75">
      <c r="A967" s="8"/>
      <c r="B967" s="107"/>
      <c r="C967" s="109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5.75">
      <c r="A968" s="8"/>
      <c r="B968" s="107"/>
      <c r="C968" s="109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5.75">
      <c r="A969" s="8"/>
      <c r="B969" s="107"/>
      <c r="C969" s="109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5.75">
      <c r="A970" s="8"/>
      <c r="B970" s="107"/>
      <c r="C970" s="109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5.75">
      <c r="A971" s="8"/>
      <c r="B971" s="107"/>
      <c r="C971" s="109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5.75">
      <c r="A972" s="8"/>
      <c r="B972" s="107"/>
      <c r="C972" s="109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5.75">
      <c r="A973" s="8"/>
      <c r="B973" s="107"/>
      <c r="C973" s="109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5.75">
      <c r="A974" s="8"/>
      <c r="B974" s="107"/>
      <c r="C974" s="109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5.75">
      <c r="A975" s="8"/>
      <c r="B975" s="107"/>
      <c r="C975" s="109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5.75">
      <c r="A976" s="8"/>
      <c r="B976" s="107"/>
      <c r="C976" s="109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5.75">
      <c r="A977" s="8"/>
      <c r="B977" s="107"/>
      <c r="C977" s="109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5.75">
      <c r="A978" s="8"/>
      <c r="B978" s="107"/>
      <c r="C978" s="109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5.75">
      <c r="A979" s="8"/>
      <c r="B979" s="107"/>
      <c r="C979" s="109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5.75">
      <c r="A980" s="8"/>
      <c r="B980" s="107"/>
      <c r="C980" s="109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5.75">
      <c r="A981" s="8"/>
      <c r="B981" s="107"/>
      <c r="C981" s="109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5.75">
      <c r="A982" s="8"/>
      <c r="B982" s="107"/>
      <c r="C982" s="109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5.75">
      <c r="A983" s="8"/>
      <c r="B983" s="107"/>
      <c r="C983" s="109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5.75">
      <c r="A984" s="8"/>
      <c r="B984" s="107"/>
      <c r="C984" s="109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5.75">
      <c r="A985" s="8"/>
      <c r="B985" s="107"/>
      <c r="C985" s="109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5.75">
      <c r="A986" s="8"/>
      <c r="B986" s="107"/>
      <c r="C986" s="109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5.75">
      <c r="A987" s="8"/>
      <c r="B987" s="107"/>
      <c r="C987" s="109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5.75">
      <c r="A988" s="8"/>
      <c r="B988" s="107"/>
      <c r="C988" s="109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5.75">
      <c r="A989" s="8"/>
      <c r="B989" s="107"/>
      <c r="C989" s="109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5.75">
      <c r="A990" s="8"/>
      <c r="B990" s="107"/>
      <c r="C990" s="109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5.75">
      <c r="A991" s="8"/>
      <c r="B991" s="107"/>
      <c r="C991" s="109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5.75">
      <c r="A992" s="8"/>
      <c r="B992" s="107"/>
      <c r="C992" s="109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5.75">
      <c r="A993" s="8"/>
      <c r="B993" s="107"/>
      <c r="C993" s="109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5.75">
      <c r="A994" s="8"/>
      <c r="B994" s="107"/>
      <c r="C994" s="109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5.75">
      <c r="A995" s="8"/>
      <c r="B995" s="107"/>
      <c r="C995" s="109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5.75">
      <c r="A996" s="8"/>
      <c r="B996" s="107"/>
      <c r="C996" s="109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5.75">
      <c r="A997" s="8"/>
      <c r="B997" s="107"/>
      <c r="C997" s="109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5.75">
      <c r="A998" s="8"/>
      <c r="B998" s="107"/>
      <c r="C998" s="109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5.75">
      <c r="A999" s="8"/>
      <c r="B999" s="107"/>
      <c r="C999" s="109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ht="15.75">
      <c r="A1000" s="8"/>
      <c r="B1000" s="107"/>
      <c r="C1000" s="109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mergeCells count="11">
    <mergeCell ref="B33:N33"/>
    <mergeCell ref="B47:N47"/>
    <mergeCell ref="B48:N48"/>
    <mergeCell ref="B49:N49"/>
    <mergeCell ref="F8:G8"/>
    <mergeCell ref="F9:G9"/>
    <mergeCell ref="G19:I19"/>
    <mergeCell ref="B22:N22"/>
    <mergeCell ref="B30:N30"/>
    <mergeCell ref="B31:N31"/>
    <mergeCell ref="B32:N32"/>
  </mergeCells>
  <dataValidations count="11">
    <dataValidation type="list" allowBlank="1" showErrorMessage="1" sqref="J10 G14:G15 C10:C16 L20 L24:L25" xr:uid="{00000000-0002-0000-0200-000000000000}">
      <formula1>"YES,NO"</formula1>
    </dataValidation>
    <dataValidation type="list" allowBlank="1" showErrorMessage="1" sqref="B11" xr:uid="{00000000-0002-0000-0200-000001000000}">
      <formula1>"FO Ceramic+ Intr&amp;Extr CeramicGold WdwTnt,FO Mirror Camera Sensor"</formula1>
    </dataValidation>
    <dataValidation type="list" allowBlank="1" showErrorMessage="1" sqref="K24" xr:uid="{00000000-0002-0000-0200-000002000000}">
      <formula1>"RMC-10-70K,RMC-10-100000K,RMC-40-70K"</formula1>
    </dataValidation>
    <dataValidation type="list" allowBlank="1" showErrorMessage="1" sqref="M34" xr:uid="{00000000-0002-0000-0200-000003000000}">
      <formula1>"Alaa Hammad,Bachir Ibrahim Mourad,Khaled Qassem,Ramy Raoof,Simon Lobo,Mharen Clemente Garado,Ranjith"</formula1>
    </dataValidation>
    <dataValidation type="list" allowBlank="1" showErrorMessage="1" sqref="D5" xr:uid="{00000000-0002-0000-0200-000004000000}">
      <formula1>"MIG09,MIG10,H16,P16,H17,H48,H43,H40,H42,H44,H45,H38,H37,EH40,EH43,ML,HL,PR,MLP,HLP,PRP,XPML,XPHL,XPMLP,XPMLP-01,XC,G10,P10,G03,P03,G06,P06,G12,P12,G05,P05,G08,P08,G09,P09,H57,P57,H64,H59,P59,H61,P61"</formula1>
    </dataValidation>
    <dataValidation type="list" allowBlank="1" showErrorMessage="1" sqref="B12" xr:uid="{00000000-0002-0000-0200-000005000000}">
      <formula1>"FO Exterior ceramic All Cars SCOTCHGUARD,FO Mirror Camera Sensor,FO PPF Gold Package"</formula1>
    </dataValidation>
    <dataValidation type="list" allowBlank="1" showErrorMessage="1" sqref="M21" xr:uid="{00000000-0002-0000-0200-000006000000}">
      <formula1>"3000-4999,5000-9999,5000-99999,10000-14999,15000-24999,25000-34999,35000-99999,5000-11999,12000-19999,20000-39999,40000-69999,70000-99999"</formula1>
    </dataValidation>
    <dataValidation type="list" allowBlank="1" showErrorMessage="1" sqref="K21" xr:uid="{00000000-0002-0000-0200-000007000000}">
      <formula1>"ADCB,ADCB PAY IN 2027,Ajman Bank,ADIB,DIB EXPAT,DIB LOCAL GVH,Emirates NBD,EIB,FAB,RAK,SIB STL,SIB NON STL"</formula1>
    </dataValidation>
    <dataValidation type="list" allowBlank="1" showErrorMessage="1" sqref="B16" xr:uid="{00000000-0002-0000-0200-000008000000}">
      <formula1>"RMC-10-40KMS,RMC-10-60KMS,RMC-10-70KMS,RMC-10-100000KMS,RMC-40-70KMS,RMC-40-100000KMS"</formula1>
    </dataValidation>
    <dataValidation type="list" allowBlank="1" showErrorMessage="1" sqref="H34" xr:uid="{00000000-0002-0000-0200-000009000000}">
      <formula1>"ALAA HAMMAD,KHALED QASSEM,RAMY RAOUF,SIMON LOBO,MHAREN CLEMENTE GARADO"</formula1>
    </dataValidation>
    <dataValidation type="list" allowBlank="1" showErrorMessage="1" sqref="K20" xr:uid="{00000000-0002-0000-0200-00000A000000}">
      <formula1>"Esaad,Emirates Platinum,Fazaa,Humat Alwatan,Permissible,ASX,XPMLP,XP,MON,MON G57,OUT,F08,P08,F06,P06,F03,F03-1,P03,EC,G37,G38,G40,G43"</formula1>
    </dataValidation>
  </dataValidations>
  <pageMargins left="0.23622047244094491" right="0.23622047244094491" top="0.74803149606299213" bottom="0.74803149606299213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1" topLeftCell="A2" activePane="bottomLeft" state="frozen"/>
      <selection pane="bottomLeft" activeCell="C13" sqref="C13"/>
    </sheetView>
  </sheetViews>
  <sheetFormatPr defaultColWidth="12.5703125" defaultRowHeight="15" customHeight="1"/>
  <cols>
    <col min="1" max="1" width="18.85546875" customWidth="1"/>
    <col min="2" max="2" width="18.42578125" customWidth="1"/>
    <col min="3" max="3" width="15.42578125" customWidth="1"/>
    <col min="4" max="4" width="31.42578125" customWidth="1"/>
    <col min="5" max="5" width="30.140625" customWidth="1"/>
    <col min="6" max="6" width="19.42578125" customWidth="1"/>
    <col min="7" max="26" width="8.5703125" customWidth="1"/>
  </cols>
  <sheetData>
    <row r="1" spans="1:26" ht="14.25" customHeight="1">
      <c r="A1" s="200" t="s">
        <v>231</v>
      </c>
      <c r="B1" s="200" t="s">
        <v>410</v>
      </c>
      <c r="C1" s="200" t="s">
        <v>411</v>
      </c>
      <c r="D1" s="200" t="s">
        <v>233</v>
      </c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</row>
    <row r="2" spans="1:26" ht="14.25" customHeight="1">
      <c r="A2" s="201" t="s">
        <v>412</v>
      </c>
      <c r="B2" s="201">
        <v>2025</v>
      </c>
      <c r="C2" s="201" t="s">
        <v>235</v>
      </c>
      <c r="D2" s="201" t="s">
        <v>112</v>
      </c>
    </row>
    <row r="3" spans="1:26" ht="14.25" customHeight="1">
      <c r="A3" s="201" t="s">
        <v>412</v>
      </c>
      <c r="B3" s="201">
        <v>2025</v>
      </c>
      <c r="C3" s="201" t="s">
        <v>236</v>
      </c>
      <c r="D3" s="201" t="s">
        <v>237</v>
      </c>
    </row>
    <row r="4" spans="1:26" ht="14.25" customHeight="1">
      <c r="A4" s="201" t="s">
        <v>412</v>
      </c>
      <c r="B4" s="201">
        <v>2025</v>
      </c>
      <c r="C4" s="201" t="s">
        <v>238</v>
      </c>
      <c r="D4" s="201" t="s">
        <v>239</v>
      </c>
    </row>
    <row r="5" spans="1:26" ht="14.25" customHeight="1">
      <c r="A5" s="201" t="s">
        <v>412</v>
      </c>
      <c r="B5" s="201">
        <v>2025</v>
      </c>
      <c r="C5" s="201" t="s">
        <v>240</v>
      </c>
      <c r="D5" s="201" t="s">
        <v>241</v>
      </c>
    </row>
    <row r="6" spans="1:26" ht="14.25" customHeight="1">
      <c r="A6" s="201" t="s">
        <v>412</v>
      </c>
      <c r="B6" s="201">
        <v>2025</v>
      </c>
      <c r="C6" s="201" t="s">
        <v>242</v>
      </c>
      <c r="D6" s="201" t="s">
        <v>243</v>
      </c>
    </row>
    <row r="7" spans="1:26" ht="14.25" customHeight="1">
      <c r="A7" s="201" t="s">
        <v>412</v>
      </c>
      <c r="B7" s="201">
        <v>2025</v>
      </c>
      <c r="C7" s="201" t="s">
        <v>244</v>
      </c>
      <c r="D7" s="201" t="s">
        <v>245</v>
      </c>
    </row>
    <row r="8" spans="1:26" ht="14.25" customHeight="1">
      <c r="A8" s="201" t="s">
        <v>413</v>
      </c>
      <c r="B8" s="201">
        <v>2025</v>
      </c>
      <c r="C8" s="201" t="s">
        <v>247</v>
      </c>
      <c r="D8" s="201" t="s">
        <v>248</v>
      </c>
    </row>
    <row r="9" spans="1:26" ht="14.25" customHeight="1">
      <c r="A9" s="201" t="s">
        <v>413</v>
      </c>
      <c r="B9" s="201">
        <v>2025</v>
      </c>
      <c r="C9" s="201" t="s">
        <v>249</v>
      </c>
      <c r="D9" s="201" t="s">
        <v>250</v>
      </c>
    </row>
    <row r="10" spans="1:26" ht="14.25" customHeight="1">
      <c r="A10" s="201" t="s">
        <v>413</v>
      </c>
      <c r="B10" s="201">
        <v>2025</v>
      </c>
      <c r="C10" s="201" t="s">
        <v>251</v>
      </c>
      <c r="D10" s="201" t="s">
        <v>252</v>
      </c>
    </row>
    <row r="11" spans="1:26" ht="14.25" customHeight="1">
      <c r="A11" s="201" t="s">
        <v>413</v>
      </c>
      <c r="B11" s="201">
        <v>2025</v>
      </c>
      <c r="C11" s="201" t="s">
        <v>253</v>
      </c>
      <c r="D11" s="201" t="s">
        <v>254</v>
      </c>
    </row>
    <row r="12" spans="1:26" ht="14.25" customHeight="1">
      <c r="A12" s="201" t="s">
        <v>413</v>
      </c>
      <c r="B12" s="201">
        <v>2025</v>
      </c>
      <c r="C12" s="201" t="s">
        <v>255</v>
      </c>
      <c r="D12" s="201" t="s">
        <v>256</v>
      </c>
    </row>
    <row r="13" spans="1:26" ht="14.25" customHeight="1">
      <c r="A13" s="201" t="s">
        <v>413</v>
      </c>
      <c r="B13" s="201">
        <v>2025</v>
      </c>
      <c r="C13" s="201" t="s">
        <v>257</v>
      </c>
      <c r="D13" s="201" t="s">
        <v>258</v>
      </c>
    </row>
    <row r="14" spans="1:26" ht="13.5" customHeight="1">
      <c r="A14" s="201" t="s">
        <v>413</v>
      </c>
      <c r="B14" s="201">
        <v>2025</v>
      </c>
      <c r="C14" s="201" t="s">
        <v>259</v>
      </c>
      <c r="D14" s="201" t="s">
        <v>260</v>
      </c>
    </row>
    <row r="15" spans="1:26" ht="14.25" customHeight="1">
      <c r="A15" s="201" t="s">
        <v>414</v>
      </c>
      <c r="B15" s="201">
        <v>2025</v>
      </c>
      <c r="C15" s="201" t="s">
        <v>262</v>
      </c>
      <c r="D15" s="201" t="s">
        <v>263</v>
      </c>
    </row>
    <row r="16" spans="1:26" ht="14.25" customHeight="1">
      <c r="A16" s="201" t="s">
        <v>414</v>
      </c>
      <c r="B16" s="201">
        <v>2025</v>
      </c>
      <c r="C16" s="201" t="s">
        <v>264</v>
      </c>
      <c r="D16" s="201" t="s">
        <v>265</v>
      </c>
    </row>
    <row r="17" spans="1:4" ht="14.25" customHeight="1">
      <c r="A17" s="201" t="s">
        <v>414</v>
      </c>
      <c r="B17" s="201">
        <v>2025</v>
      </c>
      <c r="C17" s="201" t="s">
        <v>266</v>
      </c>
      <c r="D17" s="201" t="s">
        <v>267</v>
      </c>
    </row>
    <row r="18" spans="1:4" ht="14.25" customHeight="1">
      <c r="A18" s="201" t="s">
        <v>414</v>
      </c>
      <c r="B18" s="201">
        <v>2025</v>
      </c>
      <c r="C18" s="201" t="s">
        <v>268</v>
      </c>
      <c r="D18" s="201" t="s">
        <v>269</v>
      </c>
    </row>
    <row r="19" spans="1:4" ht="14.25" customHeight="1">
      <c r="A19" s="201" t="s">
        <v>414</v>
      </c>
      <c r="B19" s="201">
        <v>2025</v>
      </c>
      <c r="C19" s="201" t="s">
        <v>270</v>
      </c>
      <c r="D19" s="201" t="s">
        <v>271</v>
      </c>
    </row>
    <row r="20" spans="1:4" ht="14.25" customHeight="1">
      <c r="A20" s="201" t="s">
        <v>415</v>
      </c>
      <c r="B20" s="201">
        <v>2025</v>
      </c>
      <c r="C20" s="201" t="s">
        <v>273</v>
      </c>
      <c r="D20" s="201" t="s">
        <v>274</v>
      </c>
    </row>
    <row r="21" spans="1:4" ht="14.25" customHeight="1">
      <c r="A21" s="201" t="s">
        <v>415</v>
      </c>
      <c r="B21" s="201">
        <v>2025</v>
      </c>
      <c r="C21" s="201" t="s">
        <v>275</v>
      </c>
      <c r="D21" s="201" t="s">
        <v>276</v>
      </c>
    </row>
    <row r="22" spans="1:4" ht="14.25" customHeight="1">
      <c r="A22" s="201" t="s">
        <v>415</v>
      </c>
      <c r="B22" s="201">
        <v>2025</v>
      </c>
      <c r="C22" s="201" t="s">
        <v>277</v>
      </c>
      <c r="D22" s="201" t="s">
        <v>278</v>
      </c>
    </row>
    <row r="23" spans="1:4" ht="14.25" customHeight="1">
      <c r="A23" s="201" t="s">
        <v>415</v>
      </c>
      <c r="B23" s="201">
        <v>2025</v>
      </c>
      <c r="C23" s="201" t="s">
        <v>279</v>
      </c>
      <c r="D23" s="201" t="s">
        <v>280</v>
      </c>
    </row>
    <row r="24" spans="1:4" ht="14.25" customHeight="1">
      <c r="A24" s="201" t="s">
        <v>416</v>
      </c>
      <c r="B24" s="201">
        <v>2025</v>
      </c>
      <c r="C24" s="201" t="s">
        <v>282</v>
      </c>
      <c r="D24" s="201" t="s">
        <v>283</v>
      </c>
    </row>
    <row r="25" spans="1:4" ht="14.25" customHeight="1">
      <c r="A25" s="201" t="s">
        <v>416</v>
      </c>
      <c r="B25" s="201">
        <v>2025</v>
      </c>
      <c r="C25" s="201" t="s">
        <v>284</v>
      </c>
      <c r="D25" s="201" t="s">
        <v>285</v>
      </c>
    </row>
    <row r="26" spans="1:4" ht="14.25" customHeight="1">
      <c r="A26" s="201" t="s">
        <v>416</v>
      </c>
      <c r="B26" s="201">
        <v>2025</v>
      </c>
      <c r="C26" s="201" t="s">
        <v>286</v>
      </c>
      <c r="D26" s="201" t="s">
        <v>287</v>
      </c>
    </row>
    <row r="27" spans="1:4" ht="14.25" customHeight="1">
      <c r="A27" s="201" t="s">
        <v>416</v>
      </c>
      <c r="B27" s="201">
        <v>2025</v>
      </c>
      <c r="C27" s="201" t="s">
        <v>288</v>
      </c>
      <c r="D27" s="201" t="s">
        <v>289</v>
      </c>
    </row>
    <row r="28" spans="1:4" ht="14.25" customHeight="1">
      <c r="A28" s="201" t="s">
        <v>416</v>
      </c>
      <c r="B28" s="201">
        <v>2025</v>
      </c>
      <c r="C28" s="201" t="s">
        <v>290</v>
      </c>
      <c r="D28" s="201" t="s">
        <v>291</v>
      </c>
    </row>
    <row r="29" spans="1:4" ht="14.25" customHeight="1">
      <c r="A29" s="201" t="s">
        <v>416</v>
      </c>
      <c r="B29" s="201">
        <v>2025</v>
      </c>
      <c r="C29" s="201" t="s">
        <v>292</v>
      </c>
      <c r="D29" s="201" t="s">
        <v>293</v>
      </c>
    </row>
    <row r="30" spans="1:4" ht="14.25" customHeight="1">
      <c r="A30" s="201" t="s">
        <v>417</v>
      </c>
      <c r="B30" s="201">
        <v>2025</v>
      </c>
      <c r="C30" s="201" t="s">
        <v>295</v>
      </c>
      <c r="D30" s="201" t="s">
        <v>296</v>
      </c>
    </row>
    <row r="31" spans="1:4" ht="14.25" customHeight="1">
      <c r="A31" s="201" t="s">
        <v>417</v>
      </c>
      <c r="B31" s="201">
        <v>2025</v>
      </c>
      <c r="C31" s="201" t="s">
        <v>297</v>
      </c>
      <c r="D31" s="201" t="s">
        <v>298</v>
      </c>
    </row>
    <row r="32" spans="1:4" ht="14.25" customHeight="1">
      <c r="A32" s="201" t="s">
        <v>417</v>
      </c>
      <c r="B32" s="201">
        <v>2025</v>
      </c>
      <c r="C32" s="201" t="s">
        <v>300</v>
      </c>
      <c r="D32" s="201" t="s">
        <v>301</v>
      </c>
    </row>
    <row r="33" spans="1:4" ht="14.25" customHeight="1">
      <c r="A33" s="201" t="s">
        <v>417</v>
      </c>
      <c r="B33" s="201">
        <v>2025</v>
      </c>
      <c r="C33" s="201" t="s">
        <v>302</v>
      </c>
      <c r="D33" s="201" t="s">
        <v>303</v>
      </c>
    </row>
    <row r="34" spans="1:4" ht="14.25" customHeight="1">
      <c r="A34" s="201" t="s">
        <v>417</v>
      </c>
      <c r="B34" s="201">
        <v>2026</v>
      </c>
      <c r="C34" s="201" t="s">
        <v>302</v>
      </c>
      <c r="D34" s="201" t="s">
        <v>303</v>
      </c>
    </row>
    <row r="35" spans="1:4" ht="14.25" customHeight="1">
      <c r="A35" s="201" t="s">
        <v>417</v>
      </c>
      <c r="B35" s="201">
        <v>2026</v>
      </c>
      <c r="C35" s="201" t="s">
        <v>300</v>
      </c>
      <c r="D35" s="201" t="s">
        <v>301</v>
      </c>
    </row>
    <row r="36" spans="1:4" ht="14.25" customHeight="1">
      <c r="A36" s="201" t="s">
        <v>417</v>
      </c>
      <c r="B36" s="201">
        <v>2026</v>
      </c>
      <c r="C36" s="201" t="s">
        <v>306</v>
      </c>
      <c r="D36" s="201" t="s">
        <v>307</v>
      </c>
    </row>
    <row r="37" spans="1:4" ht="14.25" customHeight="1">
      <c r="A37" s="201" t="s">
        <v>417</v>
      </c>
      <c r="B37" s="201">
        <v>2026</v>
      </c>
      <c r="C37" s="201" t="s">
        <v>308</v>
      </c>
      <c r="D37" s="201" t="s">
        <v>309</v>
      </c>
    </row>
    <row r="38" spans="1:4" ht="14.25" customHeight="1">
      <c r="A38" s="201" t="s">
        <v>417</v>
      </c>
      <c r="B38" s="201">
        <v>2026</v>
      </c>
      <c r="C38" s="201" t="s">
        <v>310</v>
      </c>
      <c r="D38" s="201" t="s">
        <v>311</v>
      </c>
    </row>
    <row r="39" spans="1:4" ht="14.25" customHeight="1">
      <c r="A39" s="201" t="s">
        <v>418</v>
      </c>
      <c r="B39" s="201">
        <v>2026</v>
      </c>
      <c r="C39" s="201" t="s">
        <v>313</v>
      </c>
      <c r="D39" s="201" t="s">
        <v>314</v>
      </c>
    </row>
    <row r="40" spans="1:4" ht="14.25" customHeight="1">
      <c r="A40" s="201" t="s">
        <v>418</v>
      </c>
      <c r="B40" s="201">
        <v>2026</v>
      </c>
      <c r="C40" s="201" t="s">
        <v>315</v>
      </c>
      <c r="D40" s="201" t="s">
        <v>316</v>
      </c>
    </row>
    <row r="41" spans="1:4" ht="14.25" customHeight="1">
      <c r="A41" s="201" t="s">
        <v>418</v>
      </c>
      <c r="B41" s="201">
        <v>2026</v>
      </c>
      <c r="C41" s="201" t="s">
        <v>317</v>
      </c>
      <c r="D41" s="201" t="s">
        <v>318</v>
      </c>
    </row>
    <row r="42" spans="1:4" ht="14.25" customHeight="1">
      <c r="A42" s="201" t="s">
        <v>418</v>
      </c>
      <c r="B42" s="201">
        <v>2026</v>
      </c>
      <c r="C42" s="201" t="s">
        <v>319</v>
      </c>
      <c r="D42" s="201" t="s">
        <v>320</v>
      </c>
    </row>
    <row r="43" spans="1:4" ht="14.25" customHeight="1">
      <c r="A43" s="201" t="s">
        <v>418</v>
      </c>
      <c r="B43" s="201">
        <v>2026</v>
      </c>
      <c r="C43" s="201" t="s">
        <v>321</v>
      </c>
      <c r="D43" s="201" t="s">
        <v>322</v>
      </c>
    </row>
    <row r="44" spans="1:4" ht="14.25" customHeight="1">
      <c r="A44" s="201" t="s">
        <v>418</v>
      </c>
      <c r="B44" s="201">
        <v>2026</v>
      </c>
      <c r="C44" s="201" t="s">
        <v>323</v>
      </c>
      <c r="D44" s="201" t="s">
        <v>324</v>
      </c>
    </row>
    <row r="45" spans="1:4" ht="14.25" customHeight="1">
      <c r="A45" s="201" t="s">
        <v>412</v>
      </c>
      <c r="B45" s="201">
        <v>2026</v>
      </c>
      <c r="C45" s="201" t="s">
        <v>240</v>
      </c>
      <c r="D45" s="201" t="s">
        <v>326</v>
      </c>
    </row>
    <row r="46" spans="1:4" ht="14.25" customHeight="1">
      <c r="A46" s="201" t="s">
        <v>412</v>
      </c>
      <c r="B46" s="201">
        <v>2026</v>
      </c>
      <c r="C46" s="201" t="s">
        <v>235</v>
      </c>
      <c r="D46" s="201" t="s">
        <v>198</v>
      </c>
    </row>
    <row r="47" spans="1:4" ht="14.25" customHeight="1">
      <c r="A47" s="201" t="s">
        <v>412</v>
      </c>
      <c r="B47" s="201">
        <v>2026</v>
      </c>
      <c r="C47" s="201" t="s">
        <v>236</v>
      </c>
      <c r="D47" s="201" t="s">
        <v>327</v>
      </c>
    </row>
    <row r="48" spans="1:4" ht="14.25" customHeight="1">
      <c r="A48" s="201" t="s">
        <v>412</v>
      </c>
      <c r="B48" s="201">
        <v>2026</v>
      </c>
      <c r="C48" s="201" t="s">
        <v>238</v>
      </c>
      <c r="D48" s="201" t="s">
        <v>328</v>
      </c>
    </row>
    <row r="49" spans="1:4" ht="14.25" customHeight="1">
      <c r="A49" s="201" t="s">
        <v>412</v>
      </c>
      <c r="B49" s="201">
        <v>2026</v>
      </c>
      <c r="C49" s="201" t="s">
        <v>244</v>
      </c>
      <c r="D49" s="201" t="s">
        <v>329</v>
      </c>
    </row>
    <row r="50" spans="1:4" ht="14.25" customHeight="1">
      <c r="A50" s="201" t="s">
        <v>412</v>
      </c>
      <c r="B50" s="201">
        <v>2026</v>
      </c>
      <c r="C50" s="201" t="s">
        <v>242</v>
      </c>
      <c r="D50" s="201" t="s">
        <v>330</v>
      </c>
    </row>
    <row r="51" spans="1:4" ht="14.25" customHeight="1">
      <c r="A51" s="201" t="s">
        <v>412</v>
      </c>
      <c r="B51" s="201">
        <v>2026</v>
      </c>
      <c r="C51" s="201" t="s">
        <v>331</v>
      </c>
      <c r="D51" s="201" t="s">
        <v>332</v>
      </c>
    </row>
    <row r="52" spans="1:4" ht="14.25" customHeight="1">
      <c r="A52" s="201" t="s">
        <v>413</v>
      </c>
      <c r="B52" s="201">
        <v>2026</v>
      </c>
      <c r="C52" s="201" t="s">
        <v>334</v>
      </c>
      <c r="D52" s="201" t="s">
        <v>335</v>
      </c>
    </row>
    <row r="53" spans="1:4" ht="14.25" customHeight="1">
      <c r="A53" s="201" t="s">
        <v>413</v>
      </c>
      <c r="B53" s="201">
        <v>2026</v>
      </c>
      <c r="C53" s="201" t="s">
        <v>336</v>
      </c>
      <c r="D53" s="201" t="s">
        <v>337</v>
      </c>
    </row>
    <row r="54" spans="1:4" ht="14.25" customHeight="1">
      <c r="A54" s="201" t="s">
        <v>413</v>
      </c>
      <c r="B54" s="201">
        <v>2026</v>
      </c>
      <c r="C54" s="201" t="s">
        <v>338</v>
      </c>
      <c r="D54" s="201" t="s">
        <v>339</v>
      </c>
    </row>
    <row r="55" spans="1:4" ht="14.25" customHeight="1">
      <c r="A55" s="201" t="s">
        <v>413</v>
      </c>
      <c r="B55" s="201">
        <v>2026</v>
      </c>
      <c r="C55" s="201" t="s">
        <v>340</v>
      </c>
      <c r="D55" s="201" t="s">
        <v>341</v>
      </c>
    </row>
    <row r="56" spans="1:4" ht="14.25" customHeight="1">
      <c r="A56" s="201" t="s">
        <v>413</v>
      </c>
      <c r="B56" s="201">
        <v>2026</v>
      </c>
      <c r="C56" s="201" t="s">
        <v>342</v>
      </c>
      <c r="D56" s="201" t="s">
        <v>343</v>
      </c>
    </row>
    <row r="57" spans="1:4" ht="14.25" customHeight="1">
      <c r="A57" s="201" t="s">
        <v>413</v>
      </c>
      <c r="B57" s="201">
        <v>2026</v>
      </c>
      <c r="C57" s="201" t="s">
        <v>344</v>
      </c>
      <c r="D57" s="201" t="s">
        <v>345</v>
      </c>
    </row>
    <row r="58" spans="1:4" ht="14.25" customHeight="1">
      <c r="A58" s="201" t="s">
        <v>413</v>
      </c>
      <c r="B58" s="201">
        <v>2026</v>
      </c>
      <c r="C58" s="201" t="s">
        <v>346</v>
      </c>
      <c r="D58" s="201" t="s">
        <v>347</v>
      </c>
    </row>
    <row r="59" spans="1:4" ht="14.25" customHeight="1">
      <c r="A59" s="201" t="s">
        <v>413</v>
      </c>
      <c r="B59" s="201">
        <v>2026</v>
      </c>
      <c r="C59" s="201" t="s">
        <v>348</v>
      </c>
      <c r="D59" s="201" t="s">
        <v>349</v>
      </c>
    </row>
    <row r="60" spans="1:4" ht="14.25" customHeight="1">
      <c r="A60" s="201" t="s">
        <v>413</v>
      </c>
      <c r="B60" s="201">
        <v>2026</v>
      </c>
      <c r="C60" s="201" t="s">
        <v>253</v>
      </c>
      <c r="D60" s="201" t="s">
        <v>350</v>
      </c>
    </row>
    <row r="61" spans="1:4" ht="14.25" customHeight="1">
      <c r="A61" s="201" t="s">
        <v>413</v>
      </c>
      <c r="B61" s="201">
        <v>2026</v>
      </c>
      <c r="C61" s="201" t="s">
        <v>257</v>
      </c>
      <c r="D61" s="201" t="s">
        <v>351</v>
      </c>
    </row>
    <row r="62" spans="1:4" ht="14.25" customHeight="1">
      <c r="A62" s="201" t="s">
        <v>413</v>
      </c>
      <c r="B62" s="201">
        <v>2026</v>
      </c>
      <c r="C62" s="201" t="s">
        <v>352</v>
      </c>
      <c r="D62" s="201" t="s">
        <v>353</v>
      </c>
    </row>
    <row r="63" spans="1:4" ht="14.25" customHeight="1">
      <c r="A63" s="201" t="s">
        <v>413</v>
      </c>
      <c r="B63" s="201">
        <v>2026</v>
      </c>
      <c r="C63" s="201" t="s">
        <v>354</v>
      </c>
      <c r="D63" s="201" t="s">
        <v>355</v>
      </c>
    </row>
    <row r="64" spans="1:4" ht="14.25" customHeight="1">
      <c r="A64" s="201" t="s">
        <v>413</v>
      </c>
      <c r="B64" s="201">
        <v>2026</v>
      </c>
      <c r="C64" s="201" t="s">
        <v>356</v>
      </c>
      <c r="D64" s="201" t="s">
        <v>357</v>
      </c>
    </row>
    <row r="65" spans="1:4" ht="14.25" customHeight="1">
      <c r="A65" s="201" t="s">
        <v>413</v>
      </c>
      <c r="B65" s="201">
        <v>2026</v>
      </c>
      <c r="C65" s="201" t="s">
        <v>358</v>
      </c>
      <c r="D65" s="201" t="s">
        <v>359</v>
      </c>
    </row>
    <row r="66" spans="1:4" ht="14.25" customHeight="1">
      <c r="A66" s="201" t="s">
        <v>419</v>
      </c>
      <c r="B66" s="201">
        <v>2026</v>
      </c>
      <c r="C66" s="201" t="s">
        <v>262</v>
      </c>
      <c r="D66" s="201" t="s">
        <v>263</v>
      </c>
    </row>
    <row r="67" spans="1:4" ht="14.25" customHeight="1">
      <c r="A67" s="201" t="s">
        <v>419</v>
      </c>
      <c r="B67" s="201">
        <v>2026</v>
      </c>
      <c r="C67" s="201" t="s">
        <v>264</v>
      </c>
      <c r="D67" s="201" t="s">
        <v>265</v>
      </c>
    </row>
    <row r="68" spans="1:4" ht="14.25" customHeight="1">
      <c r="A68" s="201" t="s">
        <v>419</v>
      </c>
      <c r="B68" s="201">
        <v>2026</v>
      </c>
      <c r="C68" s="201" t="s">
        <v>270</v>
      </c>
      <c r="D68" s="201" t="s">
        <v>271</v>
      </c>
    </row>
    <row r="69" spans="1:4" ht="14.25" customHeight="1">
      <c r="A69" s="201" t="s">
        <v>419</v>
      </c>
      <c r="B69" s="201">
        <v>2026</v>
      </c>
      <c r="C69" s="201" t="s">
        <v>266</v>
      </c>
      <c r="D69" s="201" t="s">
        <v>267</v>
      </c>
    </row>
    <row r="70" spans="1:4" ht="14.25" customHeight="1">
      <c r="A70" s="201" t="s">
        <v>419</v>
      </c>
      <c r="B70" s="201">
        <v>2026</v>
      </c>
      <c r="C70" s="201" t="s">
        <v>268</v>
      </c>
      <c r="D70" s="201" t="s">
        <v>269</v>
      </c>
    </row>
    <row r="71" spans="1:4" ht="14.25" customHeight="1">
      <c r="A71" s="201" t="s">
        <v>420</v>
      </c>
      <c r="B71" s="201">
        <v>2026</v>
      </c>
      <c r="C71" s="201" t="s">
        <v>362</v>
      </c>
      <c r="D71" s="201" t="s">
        <v>363</v>
      </c>
    </row>
    <row r="72" spans="1:4" ht="14.25" customHeight="1">
      <c r="A72" s="201" t="s">
        <v>420</v>
      </c>
      <c r="B72" s="201">
        <v>2026</v>
      </c>
      <c r="C72" s="201" t="s">
        <v>364</v>
      </c>
      <c r="D72" s="201" t="s">
        <v>365</v>
      </c>
    </row>
    <row r="73" spans="1:4" ht="14.25" customHeight="1">
      <c r="A73" s="201" t="s">
        <v>420</v>
      </c>
      <c r="B73" s="201">
        <v>2026</v>
      </c>
      <c r="C73" s="201" t="s">
        <v>366</v>
      </c>
      <c r="D73" s="201" t="s">
        <v>367</v>
      </c>
    </row>
    <row r="74" spans="1:4" ht="14.25" customHeight="1">
      <c r="A74" s="201" t="s">
        <v>420</v>
      </c>
      <c r="B74" s="201">
        <v>2026</v>
      </c>
      <c r="C74" s="201" t="s">
        <v>368</v>
      </c>
      <c r="D74" s="201" t="s">
        <v>369</v>
      </c>
    </row>
    <row r="75" spans="1:4" ht="14.25" customHeight="1">
      <c r="A75" s="201" t="s">
        <v>416</v>
      </c>
      <c r="B75" s="201">
        <v>2026</v>
      </c>
      <c r="C75" s="201" t="s">
        <v>371</v>
      </c>
      <c r="D75" s="201" t="s">
        <v>372</v>
      </c>
    </row>
    <row r="76" spans="1:4" ht="14.25" customHeight="1">
      <c r="A76" s="201" t="s">
        <v>416</v>
      </c>
      <c r="B76" s="201">
        <v>2026</v>
      </c>
      <c r="C76" s="201" t="s">
        <v>373</v>
      </c>
      <c r="D76" s="201" t="s">
        <v>374</v>
      </c>
    </row>
    <row r="77" spans="1:4" ht="14.25" customHeight="1">
      <c r="A77" s="201" t="s">
        <v>416</v>
      </c>
      <c r="B77" s="201">
        <v>2026</v>
      </c>
      <c r="C77" s="201" t="s">
        <v>375</v>
      </c>
      <c r="D77" s="201" t="s">
        <v>376</v>
      </c>
    </row>
    <row r="78" spans="1:4" ht="14.25" customHeight="1">
      <c r="A78" s="201" t="s">
        <v>416</v>
      </c>
      <c r="B78" s="201">
        <v>2026</v>
      </c>
      <c r="C78" s="201" t="s">
        <v>377</v>
      </c>
      <c r="D78" s="201" t="s">
        <v>378</v>
      </c>
    </row>
    <row r="79" spans="1:4" ht="14.25" customHeight="1">
      <c r="A79" s="201" t="s">
        <v>416</v>
      </c>
      <c r="B79" s="201">
        <v>2026</v>
      </c>
      <c r="C79" s="201" t="s">
        <v>379</v>
      </c>
      <c r="D79" s="201" t="s">
        <v>380</v>
      </c>
    </row>
    <row r="80" spans="1:4" ht="14.25" customHeight="1">
      <c r="A80" s="201" t="s">
        <v>416</v>
      </c>
      <c r="B80" s="201">
        <v>2026</v>
      </c>
      <c r="C80" s="201" t="s">
        <v>381</v>
      </c>
      <c r="D80" s="201" t="s">
        <v>382</v>
      </c>
    </row>
    <row r="81" spans="1:3" ht="14.25" customHeight="1">
      <c r="A81" s="173"/>
      <c r="B81" s="173"/>
      <c r="C81" s="173"/>
    </row>
    <row r="82" spans="1:3" ht="14.25" customHeight="1">
      <c r="A82" s="173"/>
      <c r="B82" s="173"/>
      <c r="C82" s="173"/>
    </row>
    <row r="83" spans="1:3" ht="14.25" customHeight="1">
      <c r="A83" s="173"/>
      <c r="B83" s="173"/>
      <c r="C83" s="173"/>
    </row>
    <row r="84" spans="1:3" ht="14.25" customHeight="1">
      <c r="A84" s="173"/>
      <c r="B84" s="173"/>
      <c r="C84" s="173"/>
    </row>
    <row r="85" spans="1:3" ht="14.25" customHeight="1">
      <c r="A85" s="173"/>
      <c r="B85" s="173"/>
      <c r="C85" s="173"/>
    </row>
    <row r="86" spans="1:3" ht="14.25" customHeight="1">
      <c r="A86" s="173"/>
      <c r="B86" s="173"/>
      <c r="C86" s="173"/>
    </row>
    <row r="87" spans="1:3" ht="14.25" customHeight="1">
      <c r="A87" s="173"/>
      <c r="B87" s="173"/>
      <c r="C87" s="173"/>
    </row>
    <row r="88" spans="1:3" ht="14.25" customHeight="1">
      <c r="A88" s="173"/>
      <c r="B88" s="173"/>
      <c r="C88" s="173"/>
    </row>
    <row r="89" spans="1:3" ht="14.25" customHeight="1">
      <c r="A89" s="173"/>
      <c r="B89" s="173"/>
      <c r="C89" s="173"/>
    </row>
    <row r="90" spans="1:3" ht="14.25" customHeight="1">
      <c r="A90" s="173"/>
      <c r="B90" s="173"/>
      <c r="C90" s="173"/>
    </row>
    <row r="91" spans="1:3" ht="14.25" customHeight="1">
      <c r="A91" s="173"/>
      <c r="B91" s="173"/>
      <c r="C91" s="173"/>
    </row>
    <row r="92" spans="1:3" ht="14.25" customHeight="1">
      <c r="A92" s="173"/>
      <c r="B92" s="173"/>
      <c r="C92" s="173"/>
    </row>
    <row r="93" spans="1:3" ht="14.25" customHeight="1">
      <c r="A93" s="173"/>
      <c r="B93" s="173"/>
      <c r="C93" s="173"/>
    </row>
    <row r="94" spans="1:3" ht="14.25" customHeight="1">
      <c r="A94" s="173"/>
      <c r="B94" s="173"/>
      <c r="C94" s="173"/>
    </row>
    <row r="95" spans="1:3" ht="14.25" customHeight="1">
      <c r="A95" s="173"/>
      <c r="B95" s="173"/>
      <c r="C95" s="173"/>
    </row>
    <row r="96" spans="1:3" ht="14.25" customHeight="1">
      <c r="A96" s="173"/>
      <c r="B96" s="173"/>
      <c r="C96" s="173"/>
    </row>
    <row r="97" spans="1:3" ht="14.25" customHeight="1">
      <c r="A97" s="173"/>
      <c r="B97" s="173"/>
      <c r="C97" s="173"/>
    </row>
    <row r="98" spans="1:3" ht="14.25" customHeight="1">
      <c r="A98" s="173"/>
      <c r="B98" s="173"/>
      <c r="C98" s="173"/>
    </row>
    <row r="99" spans="1:3" ht="14.25" customHeight="1">
      <c r="A99" s="173"/>
      <c r="B99" s="173"/>
      <c r="C99" s="173"/>
    </row>
    <row r="100" spans="1:3" ht="14.25" customHeight="1">
      <c r="A100" s="173"/>
      <c r="B100" s="173"/>
      <c r="C100" s="173"/>
    </row>
    <row r="101" spans="1:3" ht="14.25" customHeight="1">
      <c r="A101" s="173"/>
      <c r="B101" s="173"/>
      <c r="C101" s="173"/>
    </row>
    <row r="102" spans="1:3" ht="14.25" customHeight="1">
      <c r="A102" s="173"/>
      <c r="B102" s="173"/>
      <c r="C102" s="173"/>
    </row>
    <row r="103" spans="1:3" ht="14.25" customHeight="1">
      <c r="A103" s="173"/>
      <c r="B103" s="173"/>
      <c r="C103" s="173"/>
    </row>
    <row r="104" spans="1:3" ht="14.25" customHeight="1">
      <c r="A104" s="173"/>
      <c r="B104" s="173"/>
      <c r="C104" s="173"/>
    </row>
    <row r="105" spans="1:3" ht="14.25" customHeight="1">
      <c r="A105" s="173"/>
      <c r="B105" s="173"/>
      <c r="C105" s="173"/>
    </row>
    <row r="106" spans="1:3" ht="14.25" customHeight="1">
      <c r="A106" s="173"/>
      <c r="B106" s="173"/>
      <c r="C106" s="173"/>
    </row>
    <row r="107" spans="1:3" ht="14.25" customHeight="1">
      <c r="A107" s="173"/>
      <c r="B107" s="173"/>
      <c r="C107" s="173"/>
    </row>
    <row r="108" spans="1:3" ht="14.25" customHeight="1">
      <c r="A108" s="173"/>
      <c r="B108" s="173"/>
      <c r="C108" s="173"/>
    </row>
    <row r="109" spans="1:3" ht="14.25" customHeight="1">
      <c r="A109" s="173"/>
      <c r="B109" s="173"/>
      <c r="C109" s="173"/>
    </row>
    <row r="110" spans="1:3" ht="14.25" customHeight="1">
      <c r="A110" s="173"/>
      <c r="B110" s="173"/>
      <c r="C110" s="173"/>
    </row>
    <row r="111" spans="1:3" ht="14.25" customHeight="1">
      <c r="A111" s="173"/>
      <c r="B111" s="173"/>
      <c r="C111" s="173"/>
    </row>
    <row r="112" spans="1:3" ht="14.25" customHeight="1">
      <c r="A112" s="173"/>
      <c r="B112" s="173"/>
      <c r="C112" s="173"/>
    </row>
    <row r="113" spans="1:3" ht="14.25" customHeight="1">
      <c r="A113" s="173"/>
      <c r="B113" s="173"/>
      <c r="C113" s="173"/>
    </row>
    <row r="114" spans="1:3" ht="14.25" customHeight="1">
      <c r="A114" s="173"/>
      <c r="B114" s="173"/>
      <c r="C114" s="173"/>
    </row>
    <row r="115" spans="1:3" ht="14.25" customHeight="1">
      <c r="A115" s="173"/>
      <c r="B115" s="173"/>
      <c r="C115" s="173"/>
    </row>
    <row r="116" spans="1:3" ht="14.25" customHeight="1">
      <c r="A116" s="173"/>
      <c r="B116" s="173"/>
      <c r="C116" s="173"/>
    </row>
    <row r="117" spans="1:3" ht="14.25" customHeight="1">
      <c r="A117" s="173"/>
      <c r="B117" s="173"/>
      <c r="C117" s="173"/>
    </row>
    <row r="118" spans="1:3" ht="14.25" customHeight="1">
      <c r="A118" s="173"/>
      <c r="B118" s="173"/>
      <c r="C118" s="173"/>
    </row>
    <row r="119" spans="1:3" ht="14.25" customHeight="1">
      <c r="A119" s="173"/>
      <c r="B119" s="173"/>
      <c r="C119" s="173"/>
    </row>
    <row r="120" spans="1:3" ht="14.25" customHeight="1">
      <c r="A120" s="173"/>
      <c r="B120" s="173"/>
      <c r="C120" s="173"/>
    </row>
    <row r="121" spans="1:3" ht="14.25" customHeight="1">
      <c r="A121" s="173"/>
      <c r="B121" s="173"/>
      <c r="C121" s="173"/>
    </row>
    <row r="122" spans="1:3" ht="14.25" customHeight="1">
      <c r="A122" s="173"/>
      <c r="B122" s="173"/>
      <c r="C122" s="173"/>
    </row>
    <row r="123" spans="1:3" ht="14.25" customHeight="1">
      <c r="A123" s="173"/>
      <c r="B123" s="173"/>
      <c r="C123" s="173"/>
    </row>
    <row r="124" spans="1:3" ht="14.25" customHeight="1">
      <c r="A124" s="173"/>
      <c r="B124" s="173"/>
      <c r="C124" s="173"/>
    </row>
    <row r="125" spans="1:3" ht="14.25" customHeight="1">
      <c r="A125" s="173"/>
      <c r="B125" s="173"/>
      <c r="C125" s="173"/>
    </row>
    <row r="126" spans="1:3" ht="14.25" customHeight="1">
      <c r="A126" s="173"/>
      <c r="B126" s="173"/>
      <c r="C126" s="173"/>
    </row>
    <row r="127" spans="1:3" ht="14.25" customHeight="1">
      <c r="A127" s="173"/>
      <c r="B127" s="173"/>
      <c r="C127" s="173"/>
    </row>
    <row r="128" spans="1:3" ht="14.25" customHeight="1">
      <c r="A128" s="173"/>
      <c r="B128" s="173"/>
      <c r="C128" s="173"/>
    </row>
    <row r="129" spans="1:3" ht="14.25" customHeight="1">
      <c r="A129" s="173"/>
      <c r="B129" s="173"/>
      <c r="C129" s="173"/>
    </row>
    <row r="130" spans="1:3" ht="14.25" customHeight="1">
      <c r="A130" s="173"/>
      <c r="B130" s="173"/>
      <c r="C130" s="173"/>
    </row>
    <row r="131" spans="1:3" ht="14.25" customHeight="1">
      <c r="A131" s="173"/>
      <c r="B131" s="173"/>
      <c r="C131" s="173"/>
    </row>
    <row r="132" spans="1:3" ht="14.25" customHeight="1">
      <c r="A132" s="173"/>
      <c r="B132" s="173"/>
      <c r="C132" s="173"/>
    </row>
    <row r="133" spans="1:3" ht="14.25" customHeight="1">
      <c r="A133" s="173"/>
      <c r="B133" s="173"/>
      <c r="C133" s="173"/>
    </row>
    <row r="134" spans="1:3" ht="14.25" customHeight="1">
      <c r="A134" s="173"/>
      <c r="B134" s="173"/>
      <c r="C134" s="173"/>
    </row>
    <row r="135" spans="1:3" ht="14.25" customHeight="1">
      <c r="A135" s="173"/>
      <c r="B135" s="173"/>
      <c r="C135" s="173"/>
    </row>
    <row r="136" spans="1:3" ht="14.25" customHeight="1">
      <c r="A136" s="173"/>
      <c r="B136" s="173"/>
      <c r="C136" s="173"/>
    </row>
    <row r="137" spans="1:3" ht="14.25" customHeight="1">
      <c r="A137" s="173"/>
      <c r="B137" s="173"/>
      <c r="C137" s="173"/>
    </row>
    <row r="138" spans="1:3" ht="14.25" customHeight="1">
      <c r="A138" s="173"/>
      <c r="B138" s="173"/>
      <c r="C138" s="173"/>
    </row>
    <row r="139" spans="1:3" ht="14.25" customHeight="1">
      <c r="A139" s="173"/>
      <c r="B139" s="173"/>
      <c r="C139" s="173"/>
    </row>
    <row r="140" spans="1:3" ht="14.25" customHeight="1">
      <c r="A140" s="173"/>
      <c r="B140" s="173"/>
      <c r="C140" s="173"/>
    </row>
    <row r="141" spans="1:3" ht="14.25" customHeight="1">
      <c r="A141" s="173"/>
      <c r="B141" s="173"/>
      <c r="C141" s="173"/>
    </row>
    <row r="142" spans="1:3" ht="14.25" customHeight="1">
      <c r="A142" s="173"/>
      <c r="B142" s="173"/>
      <c r="C142" s="173"/>
    </row>
    <row r="143" spans="1:3" ht="14.25" customHeight="1">
      <c r="A143" s="173"/>
      <c r="B143" s="173"/>
      <c r="C143" s="173"/>
    </row>
    <row r="144" spans="1:3" ht="14.25" customHeight="1">
      <c r="A144" s="173"/>
      <c r="B144" s="173"/>
      <c r="C144" s="173"/>
    </row>
    <row r="145" spans="1:3" ht="14.25" customHeight="1">
      <c r="A145" s="173"/>
      <c r="B145" s="173"/>
      <c r="C145" s="173"/>
    </row>
    <row r="146" spans="1:3" ht="14.25" customHeight="1">
      <c r="A146" s="173"/>
      <c r="B146" s="173"/>
      <c r="C146" s="173"/>
    </row>
    <row r="147" spans="1:3" ht="14.25" customHeight="1">
      <c r="A147" s="173"/>
      <c r="B147" s="173"/>
      <c r="C147" s="173"/>
    </row>
    <row r="148" spans="1:3" ht="14.25" customHeight="1">
      <c r="A148" s="173"/>
      <c r="B148" s="173"/>
      <c r="C148" s="173"/>
    </row>
    <row r="149" spans="1:3" ht="14.25" customHeight="1">
      <c r="A149" s="173"/>
      <c r="B149" s="173"/>
      <c r="C149" s="173"/>
    </row>
    <row r="150" spans="1:3" ht="14.25" customHeight="1">
      <c r="A150" s="173"/>
      <c r="B150" s="173"/>
      <c r="C150" s="173"/>
    </row>
    <row r="151" spans="1:3" ht="14.25" customHeight="1">
      <c r="A151" s="173"/>
      <c r="B151" s="173"/>
      <c r="C151" s="173"/>
    </row>
    <row r="152" spans="1:3" ht="14.25" customHeight="1">
      <c r="A152" s="173"/>
      <c r="B152" s="173"/>
      <c r="C152" s="173"/>
    </row>
    <row r="153" spans="1:3" ht="14.25" customHeight="1">
      <c r="A153" s="173"/>
      <c r="B153" s="173"/>
      <c r="C153" s="173"/>
    </row>
    <row r="154" spans="1:3" ht="14.25" customHeight="1">
      <c r="A154" s="173"/>
      <c r="B154" s="173"/>
      <c r="C154" s="173"/>
    </row>
    <row r="155" spans="1:3" ht="14.25" customHeight="1">
      <c r="A155" s="173"/>
      <c r="B155" s="173"/>
      <c r="C155" s="173"/>
    </row>
    <row r="156" spans="1:3" ht="14.25" customHeight="1">
      <c r="A156" s="173"/>
      <c r="B156" s="173"/>
      <c r="C156" s="173"/>
    </row>
    <row r="157" spans="1:3" ht="14.25" customHeight="1">
      <c r="A157" s="173"/>
      <c r="B157" s="173"/>
      <c r="C157" s="173"/>
    </row>
    <row r="158" spans="1:3" ht="14.25" customHeight="1">
      <c r="A158" s="173"/>
      <c r="B158" s="173"/>
      <c r="C158" s="173"/>
    </row>
    <row r="159" spans="1:3" ht="14.25" customHeight="1">
      <c r="A159" s="173"/>
      <c r="B159" s="173"/>
      <c r="C159" s="173"/>
    </row>
    <row r="160" spans="1:3" ht="14.25" customHeight="1">
      <c r="A160" s="173"/>
      <c r="B160" s="173"/>
      <c r="C160" s="173"/>
    </row>
    <row r="161" spans="1:3" ht="14.25" customHeight="1">
      <c r="A161" s="173"/>
      <c r="B161" s="173"/>
      <c r="C161" s="173"/>
    </row>
    <row r="162" spans="1:3" ht="14.25" customHeight="1">
      <c r="A162" s="173"/>
      <c r="B162" s="173"/>
      <c r="C162" s="173"/>
    </row>
    <row r="163" spans="1:3" ht="14.25" customHeight="1">
      <c r="A163" s="173"/>
      <c r="B163" s="173"/>
      <c r="C163" s="173"/>
    </row>
    <row r="164" spans="1:3" ht="14.25" customHeight="1">
      <c r="A164" s="173"/>
      <c r="B164" s="173"/>
      <c r="C164" s="173"/>
    </row>
    <row r="165" spans="1:3" ht="14.25" customHeight="1">
      <c r="A165" s="173"/>
      <c r="B165" s="173"/>
      <c r="C165" s="173"/>
    </row>
    <row r="166" spans="1:3" ht="14.25" customHeight="1">
      <c r="A166" s="173"/>
      <c r="B166" s="173"/>
      <c r="C166" s="173"/>
    </row>
    <row r="167" spans="1:3" ht="14.25" customHeight="1">
      <c r="A167" s="173"/>
      <c r="B167" s="173"/>
      <c r="C167" s="173"/>
    </row>
    <row r="168" spans="1:3" ht="14.25" customHeight="1">
      <c r="A168" s="173"/>
      <c r="B168" s="173"/>
      <c r="C168" s="173"/>
    </row>
    <row r="169" spans="1:3" ht="14.25" customHeight="1">
      <c r="A169" s="173"/>
      <c r="B169" s="173"/>
      <c r="C169" s="173"/>
    </row>
    <row r="170" spans="1:3" ht="14.25" customHeight="1">
      <c r="A170" s="173"/>
      <c r="B170" s="173"/>
      <c r="C170" s="173"/>
    </row>
    <row r="171" spans="1:3" ht="14.25" customHeight="1">
      <c r="A171" s="173"/>
      <c r="B171" s="173"/>
      <c r="C171" s="173"/>
    </row>
    <row r="172" spans="1:3" ht="14.25" customHeight="1">
      <c r="A172" s="173"/>
      <c r="B172" s="173"/>
      <c r="C172" s="173"/>
    </row>
    <row r="173" spans="1:3" ht="14.25" customHeight="1">
      <c r="A173" s="173"/>
      <c r="B173" s="173"/>
      <c r="C173" s="173"/>
    </row>
    <row r="174" spans="1:3" ht="14.25" customHeight="1">
      <c r="A174" s="173"/>
      <c r="B174" s="173"/>
      <c r="C174" s="173"/>
    </row>
    <row r="175" spans="1:3" ht="14.25" customHeight="1">
      <c r="A175" s="173"/>
      <c r="B175" s="173"/>
      <c r="C175" s="173"/>
    </row>
    <row r="176" spans="1:3" ht="14.25" customHeight="1">
      <c r="A176" s="173"/>
      <c r="B176" s="173"/>
      <c r="C176" s="173"/>
    </row>
    <row r="177" spans="1:3" ht="14.25" customHeight="1">
      <c r="A177" s="173"/>
      <c r="B177" s="173"/>
      <c r="C177" s="173"/>
    </row>
    <row r="178" spans="1:3" ht="14.25" customHeight="1">
      <c r="A178" s="173"/>
      <c r="B178" s="173"/>
      <c r="C178" s="173"/>
    </row>
    <row r="179" spans="1:3" ht="14.25" customHeight="1">
      <c r="A179" s="173"/>
      <c r="B179" s="173"/>
      <c r="C179" s="173"/>
    </row>
    <row r="180" spans="1:3" ht="14.25" customHeight="1">
      <c r="A180" s="173"/>
      <c r="B180" s="173"/>
      <c r="C180" s="173"/>
    </row>
    <row r="181" spans="1:3" ht="14.25" customHeight="1">
      <c r="A181" s="173"/>
      <c r="B181" s="173"/>
      <c r="C181" s="173"/>
    </row>
    <row r="182" spans="1:3" ht="14.25" customHeight="1">
      <c r="A182" s="173"/>
      <c r="B182" s="173"/>
      <c r="C182" s="173"/>
    </row>
    <row r="183" spans="1:3" ht="14.25" customHeight="1">
      <c r="A183" s="173"/>
      <c r="B183" s="173"/>
      <c r="C183" s="173"/>
    </row>
    <row r="184" spans="1:3" ht="14.25" customHeight="1">
      <c r="A184" s="173"/>
      <c r="B184" s="173"/>
      <c r="C184" s="173"/>
    </row>
    <row r="185" spans="1:3" ht="14.25" customHeight="1">
      <c r="A185" s="173"/>
      <c r="B185" s="173"/>
      <c r="C185" s="173"/>
    </row>
    <row r="186" spans="1:3" ht="14.25" customHeight="1">
      <c r="A186" s="173"/>
      <c r="B186" s="173"/>
      <c r="C186" s="173"/>
    </row>
    <row r="187" spans="1:3" ht="14.25" customHeight="1">
      <c r="A187" s="173"/>
      <c r="B187" s="173"/>
      <c r="C187" s="173"/>
    </row>
    <row r="188" spans="1:3" ht="14.25" customHeight="1">
      <c r="A188" s="173"/>
      <c r="B188" s="173"/>
      <c r="C188" s="173"/>
    </row>
    <row r="189" spans="1:3" ht="14.25" customHeight="1">
      <c r="A189" s="173"/>
      <c r="B189" s="173"/>
      <c r="C189" s="173"/>
    </row>
    <row r="190" spans="1:3" ht="14.25" customHeight="1">
      <c r="A190" s="173"/>
      <c r="B190" s="173"/>
      <c r="C190" s="173"/>
    </row>
    <row r="191" spans="1:3" ht="14.25" customHeight="1">
      <c r="A191" s="173"/>
      <c r="B191" s="173"/>
      <c r="C191" s="173"/>
    </row>
    <row r="192" spans="1:3" ht="14.25" customHeight="1">
      <c r="A192" s="173"/>
      <c r="B192" s="173"/>
      <c r="C192" s="173"/>
    </row>
    <row r="193" spans="1:3" ht="14.25" customHeight="1">
      <c r="A193" s="173"/>
      <c r="B193" s="173"/>
      <c r="C193" s="173"/>
    </row>
    <row r="194" spans="1:3" ht="14.25" customHeight="1">
      <c r="A194" s="173"/>
      <c r="B194" s="173"/>
      <c r="C194" s="173"/>
    </row>
    <row r="195" spans="1:3" ht="14.25" customHeight="1">
      <c r="A195" s="173"/>
      <c r="B195" s="173"/>
      <c r="C195" s="173"/>
    </row>
    <row r="196" spans="1:3" ht="14.25" customHeight="1">
      <c r="A196" s="173"/>
      <c r="B196" s="173"/>
      <c r="C196" s="173"/>
    </row>
    <row r="197" spans="1:3" ht="14.25" customHeight="1">
      <c r="A197" s="173"/>
      <c r="B197" s="173"/>
      <c r="C197" s="173"/>
    </row>
    <row r="198" spans="1:3" ht="14.25" customHeight="1">
      <c r="A198" s="173"/>
      <c r="B198" s="173"/>
      <c r="C198" s="173"/>
    </row>
    <row r="199" spans="1:3" ht="14.25" customHeight="1">
      <c r="A199" s="173"/>
      <c r="B199" s="173"/>
      <c r="C199" s="173"/>
    </row>
    <row r="200" spans="1:3" ht="14.25" customHeight="1">
      <c r="A200" s="173"/>
      <c r="B200" s="173"/>
      <c r="C200" s="173"/>
    </row>
    <row r="201" spans="1:3" ht="14.25" customHeight="1">
      <c r="A201" s="173"/>
      <c r="B201" s="173"/>
      <c r="C201" s="173"/>
    </row>
    <row r="202" spans="1:3" ht="14.25" customHeight="1">
      <c r="A202" s="173"/>
      <c r="B202" s="173"/>
      <c r="C202" s="173"/>
    </row>
    <row r="203" spans="1:3" ht="14.25" customHeight="1">
      <c r="A203" s="173"/>
      <c r="B203" s="173"/>
      <c r="C203" s="173"/>
    </row>
    <row r="204" spans="1:3" ht="14.25" customHeight="1">
      <c r="A204" s="173"/>
      <c r="B204" s="173"/>
      <c r="C204" s="173"/>
    </row>
    <row r="205" spans="1:3" ht="14.25" customHeight="1">
      <c r="A205" s="173"/>
      <c r="B205" s="173"/>
      <c r="C205" s="173"/>
    </row>
    <row r="206" spans="1:3" ht="14.25" customHeight="1">
      <c r="A206" s="173"/>
      <c r="B206" s="173"/>
      <c r="C206" s="173"/>
    </row>
    <row r="207" spans="1:3" ht="14.25" customHeight="1">
      <c r="A207" s="173"/>
      <c r="B207" s="173"/>
      <c r="C207" s="173"/>
    </row>
    <row r="208" spans="1:3" ht="14.25" customHeight="1">
      <c r="A208" s="173"/>
      <c r="B208" s="173"/>
      <c r="C208" s="173"/>
    </row>
    <row r="209" spans="1:3" ht="14.25" customHeight="1">
      <c r="A209" s="173"/>
      <c r="B209" s="173"/>
      <c r="C209" s="173"/>
    </row>
    <row r="210" spans="1:3" ht="14.25" customHeight="1">
      <c r="A210" s="173"/>
      <c r="B210" s="173"/>
      <c r="C210" s="173"/>
    </row>
    <row r="211" spans="1:3" ht="14.25" customHeight="1">
      <c r="A211" s="173"/>
      <c r="B211" s="173"/>
      <c r="C211" s="173"/>
    </row>
    <row r="212" spans="1:3" ht="14.25" customHeight="1">
      <c r="A212" s="173"/>
      <c r="B212" s="173"/>
      <c r="C212" s="173"/>
    </row>
    <row r="213" spans="1:3" ht="14.25" customHeight="1">
      <c r="A213" s="173"/>
      <c r="B213" s="173"/>
      <c r="C213" s="173"/>
    </row>
    <row r="214" spans="1:3" ht="14.25" customHeight="1">
      <c r="A214" s="173"/>
      <c r="B214" s="173"/>
      <c r="C214" s="173"/>
    </row>
    <row r="215" spans="1:3" ht="14.25" customHeight="1">
      <c r="A215" s="173"/>
      <c r="B215" s="173"/>
      <c r="C215" s="173"/>
    </row>
    <row r="216" spans="1:3" ht="14.25" customHeight="1">
      <c r="A216" s="173"/>
      <c r="B216" s="173"/>
      <c r="C216" s="173"/>
    </row>
    <row r="217" spans="1:3" ht="14.25" customHeight="1">
      <c r="A217" s="173"/>
      <c r="B217" s="173"/>
      <c r="C217" s="173"/>
    </row>
    <row r="218" spans="1:3" ht="14.25" customHeight="1">
      <c r="A218" s="173"/>
      <c r="B218" s="173"/>
      <c r="C218" s="173"/>
    </row>
    <row r="219" spans="1:3" ht="14.25" customHeight="1">
      <c r="A219" s="173"/>
      <c r="B219" s="173"/>
      <c r="C219" s="173"/>
    </row>
    <row r="220" spans="1:3" ht="14.25" customHeight="1">
      <c r="A220" s="173"/>
      <c r="B220" s="173"/>
      <c r="C220" s="173"/>
    </row>
    <row r="221" spans="1:3" ht="14.25" customHeight="1">
      <c r="A221" s="173"/>
      <c r="B221" s="173"/>
      <c r="C221" s="173"/>
    </row>
    <row r="222" spans="1:3" ht="14.25" customHeight="1">
      <c r="A222" s="173"/>
      <c r="B222" s="173"/>
      <c r="C222" s="173"/>
    </row>
    <row r="223" spans="1:3" ht="14.25" customHeight="1">
      <c r="A223" s="173"/>
      <c r="B223" s="173"/>
      <c r="C223" s="173"/>
    </row>
    <row r="224" spans="1:3" ht="14.25" customHeight="1">
      <c r="A224" s="173"/>
      <c r="B224" s="173"/>
      <c r="C224" s="173"/>
    </row>
    <row r="225" spans="1:3" ht="14.25" customHeight="1">
      <c r="A225" s="173"/>
      <c r="B225" s="173"/>
      <c r="C225" s="173"/>
    </row>
    <row r="226" spans="1:3" ht="14.25" customHeight="1">
      <c r="A226" s="173"/>
      <c r="B226" s="173"/>
      <c r="C226" s="173"/>
    </row>
    <row r="227" spans="1:3" ht="14.25" customHeight="1">
      <c r="A227" s="173"/>
      <c r="B227" s="173"/>
      <c r="C227" s="173"/>
    </row>
    <row r="228" spans="1:3" ht="14.25" customHeight="1">
      <c r="A228" s="173"/>
      <c r="B228" s="173"/>
      <c r="C228" s="173"/>
    </row>
    <row r="229" spans="1:3" ht="14.25" customHeight="1">
      <c r="A229" s="173"/>
      <c r="B229" s="173"/>
      <c r="C229" s="173"/>
    </row>
    <row r="230" spans="1:3" ht="14.25" customHeight="1">
      <c r="A230" s="173"/>
      <c r="B230" s="173"/>
      <c r="C230" s="173"/>
    </row>
    <row r="231" spans="1:3" ht="14.25" customHeight="1">
      <c r="A231" s="173"/>
      <c r="B231" s="173"/>
      <c r="C231" s="173"/>
    </row>
    <row r="232" spans="1:3" ht="14.25" customHeight="1">
      <c r="A232" s="173"/>
      <c r="B232" s="173"/>
      <c r="C232" s="173"/>
    </row>
    <row r="233" spans="1:3" ht="14.25" customHeight="1">
      <c r="A233" s="173"/>
      <c r="B233" s="173"/>
      <c r="C233" s="173"/>
    </row>
    <row r="234" spans="1:3" ht="14.25" customHeight="1">
      <c r="A234" s="173"/>
      <c r="B234" s="173"/>
      <c r="C234" s="173"/>
    </row>
    <row r="235" spans="1:3" ht="14.25" customHeight="1">
      <c r="A235" s="173"/>
      <c r="B235" s="173"/>
      <c r="C235" s="173"/>
    </row>
    <row r="236" spans="1:3" ht="14.25" customHeight="1">
      <c r="A236" s="173"/>
      <c r="B236" s="173"/>
      <c r="C236" s="173"/>
    </row>
    <row r="237" spans="1:3" ht="14.25" customHeight="1">
      <c r="A237" s="173"/>
      <c r="B237" s="173"/>
      <c r="C237" s="173"/>
    </row>
    <row r="238" spans="1:3" ht="14.25" customHeight="1">
      <c r="A238" s="173"/>
      <c r="B238" s="173"/>
      <c r="C238" s="173"/>
    </row>
    <row r="239" spans="1:3" ht="14.25" customHeight="1">
      <c r="A239" s="173"/>
      <c r="B239" s="173"/>
      <c r="C239" s="173"/>
    </row>
    <row r="240" spans="1:3" ht="14.25" customHeight="1">
      <c r="A240" s="173"/>
      <c r="B240" s="173"/>
      <c r="C240" s="173"/>
    </row>
    <row r="241" spans="1:3" ht="14.25" customHeight="1">
      <c r="A241" s="173"/>
      <c r="B241" s="173"/>
      <c r="C241" s="173"/>
    </row>
    <row r="242" spans="1:3" ht="14.25" customHeight="1">
      <c r="A242" s="173"/>
      <c r="B242" s="173"/>
      <c r="C242" s="173"/>
    </row>
    <row r="243" spans="1:3" ht="14.25" customHeight="1">
      <c r="A243" s="173"/>
      <c r="B243" s="173"/>
      <c r="C243" s="173"/>
    </row>
    <row r="244" spans="1:3" ht="14.25" customHeight="1">
      <c r="A244" s="173"/>
      <c r="B244" s="173"/>
      <c r="C244" s="173"/>
    </row>
    <row r="245" spans="1:3" ht="14.25" customHeight="1">
      <c r="A245" s="173"/>
      <c r="B245" s="173"/>
      <c r="C245" s="173"/>
    </row>
    <row r="246" spans="1:3" ht="14.25" customHeight="1">
      <c r="A246" s="173"/>
      <c r="B246" s="173"/>
      <c r="C246" s="173"/>
    </row>
    <row r="247" spans="1:3" ht="14.25" customHeight="1">
      <c r="A247" s="173"/>
      <c r="B247" s="173"/>
      <c r="C247" s="173"/>
    </row>
    <row r="248" spans="1:3" ht="14.25" customHeight="1">
      <c r="A248" s="173"/>
      <c r="B248" s="173"/>
      <c r="C248" s="173"/>
    </row>
    <row r="249" spans="1:3" ht="14.25" customHeight="1">
      <c r="A249" s="173"/>
      <c r="B249" s="173"/>
      <c r="C249" s="173"/>
    </row>
    <row r="250" spans="1:3" ht="14.25" customHeight="1">
      <c r="A250" s="173"/>
      <c r="B250" s="173"/>
      <c r="C250" s="173"/>
    </row>
    <row r="251" spans="1:3" ht="14.25" customHeight="1">
      <c r="A251" s="173"/>
      <c r="B251" s="173"/>
      <c r="C251" s="173"/>
    </row>
    <row r="252" spans="1:3" ht="14.25" customHeight="1">
      <c r="A252" s="173"/>
      <c r="B252" s="173"/>
      <c r="C252" s="173"/>
    </row>
    <row r="253" spans="1:3" ht="14.25" customHeight="1">
      <c r="A253" s="173"/>
      <c r="B253" s="173"/>
      <c r="C253" s="173"/>
    </row>
    <row r="254" spans="1:3" ht="14.25" customHeight="1">
      <c r="A254" s="173"/>
      <c r="B254" s="173"/>
      <c r="C254" s="173"/>
    </row>
    <row r="255" spans="1:3" ht="14.25" customHeight="1">
      <c r="A255" s="173"/>
      <c r="B255" s="173"/>
      <c r="C255" s="173"/>
    </row>
    <row r="256" spans="1:3" ht="14.25" customHeight="1">
      <c r="A256" s="173"/>
      <c r="B256" s="173"/>
      <c r="C256" s="173"/>
    </row>
    <row r="257" spans="1:3" ht="14.25" customHeight="1">
      <c r="A257" s="173"/>
      <c r="B257" s="173"/>
      <c r="C257" s="173"/>
    </row>
    <row r="258" spans="1:3" ht="14.25" customHeight="1">
      <c r="A258" s="173"/>
      <c r="B258" s="173"/>
      <c r="C258" s="173"/>
    </row>
    <row r="259" spans="1:3" ht="14.25" customHeight="1">
      <c r="A259" s="173"/>
      <c r="B259" s="173"/>
      <c r="C259" s="173"/>
    </row>
    <row r="260" spans="1:3" ht="14.25" customHeight="1">
      <c r="A260" s="173"/>
      <c r="B260" s="173"/>
      <c r="C260" s="173"/>
    </row>
    <row r="261" spans="1:3" ht="14.25" customHeight="1">
      <c r="A261" s="173"/>
      <c r="B261" s="173"/>
      <c r="C261" s="173"/>
    </row>
    <row r="262" spans="1:3" ht="14.25" customHeight="1">
      <c r="A262" s="173"/>
      <c r="B262" s="173"/>
      <c r="C262" s="173"/>
    </row>
    <row r="263" spans="1:3" ht="14.25" customHeight="1">
      <c r="A263" s="173"/>
      <c r="B263" s="173"/>
      <c r="C263" s="173"/>
    </row>
    <row r="264" spans="1:3" ht="14.25" customHeight="1">
      <c r="A264" s="173"/>
      <c r="B264" s="173"/>
      <c r="C264" s="173"/>
    </row>
    <row r="265" spans="1:3" ht="14.25" customHeight="1">
      <c r="A265" s="173"/>
      <c r="B265" s="173"/>
      <c r="C265" s="173"/>
    </row>
    <row r="266" spans="1:3" ht="14.25" customHeight="1">
      <c r="A266" s="173"/>
      <c r="B266" s="173"/>
      <c r="C266" s="173"/>
    </row>
    <row r="267" spans="1:3" ht="14.25" customHeight="1">
      <c r="A267" s="173"/>
      <c r="B267" s="173"/>
      <c r="C267" s="173"/>
    </row>
    <row r="268" spans="1:3" ht="14.25" customHeight="1">
      <c r="A268" s="173"/>
      <c r="B268" s="173"/>
      <c r="C268" s="173"/>
    </row>
    <row r="269" spans="1:3" ht="14.25" customHeight="1">
      <c r="A269" s="173"/>
      <c r="B269" s="173"/>
      <c r="C269" s="173"/>
    </row>
    <row r="270" spans="1:3" ht="14.25" customHeight="1">
      <c r="A270" s="173"/>
      <c r="B270" s="173"/>
      <c r="C270" s="173"/>
    </row>
    <row r="271" spans="1:3" ht="14.25" customHeight="1">
      <c r="A271" s="173"/>
      <c r="B271" s="173"/>
      <c r="C271" s="173"/>
    </row>
    <row r="272" spans="1:3" ht="14.25" customHeight="1">
      <c r="A272" s="173"/>
      <c r="B272" s="173"/>
      <c r="C272" s="173"/>
    </row>
    <row r="273" spans="1:3" ht="14.25" customHeight="1">
      <c r="A273" s="173"/>
      <c r="B273" s="173"/>
      <c r="C273" s="173"/>
    </row>
    <row r="274" spans="1:3" ht="14.25" customHeight="1">
      <c r="A274" s="173"/>
      <c r="B274" s="173"/>
      <c r="C274" s="173"/>
    </row>
    <row r="275" spans="1:3" ht="14.25" customHeight="1">
      <c r="A275" s="173"/>
      <c r="B275" s="173"/>
      <c r="C275" s="173"/>
    </row>
    <row r="276" spans="1:3" ht="14.25" customHeight="1">
      <c r="A276" s="173"/>
      <c r="B276" s="173"/>
      <c r="C276" s="173"/>
    </row>
    <row r="277" spans="1:3" ht="14.25" customHeight="1">
      <c r="A277" s="173"/>
      <c r="B277" s="173"/>
      <c r="C277" s="173"/>
    </row>
    <row r="278" spans="1:3" ht="14.25" customHeight="1">
      <c r="A278" s="173"/>
      <c r="B278" s="173"/>
      <c r="C278" s="173"/>
    </row>
    <row r="279" spans="1:3" ht="14.25" customHeight="1">
      <c r="A279" s="173"/>
      <c r="B279" s="173"/>
      <c r="C279" s="173"/>
    </row>
    <row r="280" spans="1:3" ht="14.25" customHeight="1">
      <c r="A280" s="173"/>
      <c r="B280" s="173"/>
      <c r="C280" s="173"/>
    </row>
    <row r="281" spans="1:3" ht="14.25" customHeight="1">
      <c r="A281" s="173"/>
      <c r="B281" s="173"/>
      <c r="C281" s="173"/>
    </row>
    <row r="282" spans="1:3" ht="14.25" customHeight="1">
      <c r="A282" s="173"/>
      <c r="B282" s="173"/>
      <c r="C282" s="173"/>
    </row>
    <row r="283" spans="1:3" ht="14.25" customHeight="1">
      <c r="A283" s="173"/>
      <c r="B283" s="173"/>
      <c r="C283" s="173"/>
    </row>
    <row r="284" spans="1:3" ht="14.25" customHeight="1">
      <c r="A284" s="173"/>
      <c r="B284" s="173"/>
      <c r="C284" s="173"/>
    </row>
    <row r="285" spans="1:3" ht="14.25" customHeight="1">
      <c r="A285" s="173"/>
      <c r="B285" s="173"/>
      <c r="C285" s="173"/>
    </row>
    <row r="286" spans="1:3" ht="14.25" customHeight="1">
      <c r="A286" s="173"/>
      <c r="B286" s="173"/>
      <c r="C286" s="173"/>
    </row>
    <row r="287" spans="1:3" ht="14.25" customHeight="1">
      <c r="A287" s="173"/>
      <c r="B287" s="173"/>
      <c r="C287" s="173"/>
    </row>
    <row r="288" spans="1:3" ht="14.25" customHeight="1">
      <c r="A288" s="173"/>
      <c r="B288" s="173"/>
      <c r="C288" s="173"/>
    </row>
    <row r="289" spans="1:3" ht="14.25" customHeight="1">
      <c r="A289" s="173"/>
      <c r="B289" s="173"/>
      <c r="C289" s="173"/>
    </row>
    <row r="290" spans="1:3" ht="14.25" customHeight="1">
      <c r="A290" s="173"/>
      <c r="B290" s="173"/>
      <c r="C290" s="173"/>
    </row>
    <row r="291" spans="1:3" ht="14.25" customHeight="1">
      <c r="A291" s="173"/>
      <c r="B291" s="173"/>
      <c r="C291" s="173"/>
    </row>
    <row r="292" spans="1:3" ht="14.25" customHeight="1">
      <c r="A292" s="173"/>
      <c r="B292" s="173"/>
      <c r="C292" s="173"/>
    </row>
    <row r="293" spans="1:3" ht="14.25" customHeight="1">
      <c r="A293" s="173"/>
      <c r="B293" s="173"/>
      <c r="C293" s="173"/>
    </row>
    <row r="294" spans="1:3" ht="14.25" customHeight="1">
      <c r="A294" s="173"/>
      <c r="B294" s="173"/>
      <c r="C294" s="173"/>
    </row>
    <row r="295" spans="1:3" ht="14.25" customHeight="1">
      <c r="A295" s="173"/>
      <c r="B295" s="173"/>
      <c r="C295" s="173"/>
    </row>
    <row r="296" spans="1:3" ht="14.25" customHeight="1">
      <c r="A296" s="173"/>
      <c r="B296" s="173"/>
      <c r="C296" s="173"/>
    </row>
    <row r="297" spans="1:3" ht="14.25" customHeight="1">
      <c r="A297" s="173"/>
      <c r="B297" s="173"/>
      <c r="C297" s="173"/>
    </row>
    <row r="298" spans="1:3" ht="14.25" customHeight="1">
      <c r="A298" s="173"/>
      <c r="B298" s="173"/>
      <c r="C298" s="173"/>
    </row>
    <row r="299" spans="1:3" ht="14.25" customHeight="1">
      <c r="A299" s="173"/>
      <c r="B299" s="173"/>
      <c r="C299" s="173"/>
    </row>
    <row r="300" spans="1:3" ht="14.25" customHeight="1">
      <c r="A300" s="173"/>
      <c r="B300" s="173"/>
      <c r="C300" s="173"/>
    </row>
    <row r="301" spans="1:3" ht="14.25" customHeight="1">
      <c r="A301" s="173"/>
      <c r="B301" s="173"/>
      <c r="C301" s="173"/>
    </row>
    <row r="302" spans="1:3" ht="14.25" customHeight="1">
      <c r="A302" s="173"/>
      <c r="B302" s="173"/>
      <c r="C302" s="173"/>
    </row>
    <row r="303" spans="1:3" ht="14.25" customHeight="1">
      <c r="A303" s="173"/>
      <c r="B303" s="173"/>
      <c r="C303" s="173"/>
    </row>
    <row r="304" spans="1:3" ht="14.25" customHeight="1">
      <c r="A304" s="173"/>
      <c r="B304" s="173"/>
      <c r="C304" s="173"/>
    </row>
    <row r="305" spans="1:3" ht="14.25" customHeight="1">
      <c r="A305" s="173"/>
      <c r="B305" s="173"/>
      <c r="C305" s="173"/>
    </row>
    <row r="306" spans="1:3" ht="14.25" customHeight="1">
      <c r="A306" s="173"/>
      <c r="B306" s="173"/>
      <c r="C306" s="173"/>
    </row>
    <row r="307" spans="1:3" ht="14.25" customHeight="1">
      <c r="A307" s="173"/>
      <c r="B307" s="173"/>
      <c r="C307" s="173"/>
    </row>
    <row r="308" spans="1:3" ht="14.25" customHeight="1">
      <c r="A308" s="173"/>
      <c r="B308" s="173"/>
      <c r="C308" s="173"/>
    </row>
    <row r="309" spans="1:3" ht="14.25" customHeight="1">
      <c r="A309" s="173"/>
      <c r="B309" s="173"/>
      <c r="C309" s="173"/>
    </row>
    <row r="310" spans="1:3" ht="14.25" customHeight="1">
      <c r="A310" s="173"/>
      <c r="B310" s="173"/>
      <c r="C310" s="173"/>
    </row>
    <row r="311" spans="1:3" ht="14.25" customHeight="1">
      <c r="A311" s="173"/>
      <c r="B311" s="173"/>
      <c r="C311" s="173"/>
    </row>
    <row r="312" spans="1:3" ht="14.25" customHeight="1">
      <c r="A312" s="173"/>
      <c r="B312" s="173"/>
      <c r="C312" s="173"/>
    </row>
    <row r="313" spans="1:3" ht="14.25" customHeight="1">
      <c r="A313" s="173"/>
      <c r="B313" s="173"/>
      <c r="C313" s="173"/>
    </row>
    <row r="314" spans="1:3" ht="14.25" customHeight="1">
      <c r="A314" s="173"/>
      <c r="B314" s="173"/>
      <c r="C314" s="173"/>
    </row>
    <row r="315" spans="1:3" ht="14.25" customHeight="1">
      <c r="A315" s="173"/>
      <c r="B315" s="173"/>
      <c r="C315" s="173"/>
    </row>
    <row r="316" spans="1:3" ht="14.25" customHeight="1">
      <c r="A316" s="173"/>
      <c r="B316" s="173"/>
      <c r="C316" s="173"/>
    </row>
    <row r="317" spans="1:3" ht="14.25" customHeight="1">
      <c r="A317" s="173"/>
      <c r="B317" s="173"/>
      <c r="C317" s="173"/>
    </row>
    <row r="318" spans="1:3" ht="14.25" customHeight="1">
      <c r="A318" s="173"/>
      <c r="B318" s="173"/>
      <c r="C318" s="173"/>
    </row>
    <row r="319" spans="1:3" ht="14.25" customHeight="1">
      <c r="A319" s="173"/>
      <c r="B319" s="173"/>
      <c r="C319" s="173"/>
    </row>
    <row r="320" spans="1:3" ht="14.25" customHeight="1">
      <c r="A320" s="173"/>
      <c r="B320" s="173"/>
      <c r="C320" s="173"/>
    </row>
    <row r="321" spans="1:3" ht="14.25" customHeight="1">
      <c r="A321" s="173"/>
      <c r="B321" s="173"/>
      <c r="C321" s="173"/>
    </row>
    <row r="322" spans="1:3" ht="14.25" customHeight="1">
      <c r="A322" s="173"/>
      <c r="B322" s="173"/>
      <c r="C322" s="173"/>
    </row>
    <row r="323" spans="1:3" ht="14.25" customHeight="1">
      <c r="A323" s="173"/>
      <c r="B323" s="173"/>
      <c r="C323" s="173"/>
    </row>
    <row r="324" spans="1:3" ht="14.25" customHeight="1">
      <c r="A324" s="173"/>
      <c r="B324" s="173"/>
      <c r="C324" s="173"/>
    </row>
    <row r="325" spans="1:3" ht="14.25" customHeight="1">
      <c r="A325" s="173"/>
      <c r="B325" s="173"/>
      <c r="C325" s="173"/>
    </row>
    <row r="326" spans="1:3" ht="14.25" customHeight="1">
      <c r="A326" s="173"/>
      <c r="B326" s="173"/>
      <c r="C326" s="173"/>
    </row>
    <row r="327" spans="1:3" ht="14.25" customHeight="1">
      <c r="A327" s="173"/>
      <c r="B327" s="173"/>
      <c r="C327" s="173"/>
    </row>
    <row r="328" spans="1:3" ht="14.25" customHeight="1">
      <c r="A328" s="173"/>
      <c r="B328" s="173"/>
      <c r="C328" s="173"/>
    </row>
    <row r="329" spans="1:3" ht="14.25" customHeight="1">
      <c r="A329" s="173"/>
      <c r="B329" s="173"/>
      <c r="C329" s="173"/>
    </row>
    <row r="330" spans="1:3" ht="14.25" customHeight="1">
      <c r="A330" s="173"/>
      <c r="B330" s="173"/>
      <c r="C330" s="173"/>
    </row>
    <row r="331" spans="1:3" ht="14.25" customHeight="1">
      <c r="A331" s="173"/>
      <c r="B331" s="173"/>
      <c r="C331" s="173"/>
    </row>
    <row r="332" spans="1:3" ht="14.25" customHeight="1">
      <c r="A332" s="173"/>
      <c r="B332" s="173"/>
      <c r="C332" s="173"/>
    </row>
    <row r="333" spans="1:3" ht="14.25" customHeight="1">
      <c r="A333" s="173"/>
      <c r="B333" s="173"/>
      <c r="C333" s="173"/>
    </row>
    <row r="334" spans="1:3" ht="14.25" customHeight="1">
      <c r="A334" s="173"/>
      <c r="B334" s="173"/>
      <c r="C334" s="173"/>
    </row>
    <row r="335" spans="1:3" ht="14.25" customHeight="1">
      <c r="A335" s="173"/>
      <c r="B335" s="173"/>
      <c r="C335" s="173"/>
    </row>
    <row r="336" spans="1:3" ht="14.25" customHeight="1">
      <c r="A336" s="173"/>
      <c r="B336" s="173"/>
      <c r="C336" s="173"/>
    </row>
    <row r="337" spans="1:3" ht="14.25" customHeight="1">
      <c r="A337" s="173"/>
      <c r="B337" s="173"/>
      <c r="C337" s="173"/>
    </row>
    <row r="338" spans="1:3" ht="14.25" customHeight="1">
      <c r="A338" s="173"/>
      <c r="B338" s="173"/>
      <c r="C338" s="173"/>
    </row>
    <row r="339" spans="1:3" ht="14.25" customHeight="1">
      <c r="A339" s="173"/>
      <c r="B339" s="173"/>
      <c r="C339" s="173"/>
    </row>
    <row r="340" spans="1:3" ht="14.25" customHeight="1">
      <c r="A340" s="173"/>
      <c r="B340" s="173"/>
      <c r="C340" s="173"/>
    </row>
    <row r="341" spans="1:3" ht="14.25" customHeight="1">
      <c r="A341" s="173"/>
      <c r="B341" s="173"/>
      <c r="C341" s="173"/>
    </row>
    <row r="342" spans="1:3" ht="14.25" customHeight="1">
      <c r="A342" s="173"/>
      <c r="B342" s="173"/>
      <c r="C342" s="173"/>
    </row>
    <row r="343" spans="1:3" ht="14.25" customHeight="1">
      <c r="A343" s="173"/>
      <c r="B343" s="173"/>
      <c r="C343" s="173"/>
    </row>
    <row r="344" spans="1:3" ht="14.25" customHeight="1">
      <c r="A344" s="173"/>
      <c r="B344" s="173"/>
      <c r="C344" s="173"/>
    </row>
    <row r="345" spans="1:3" ht="14.25" customHeight="1">
      <c r="A345" s="173"/>
      <c r="B345" s="173"/>
      <c r="C345" s="173"/>
    </row>
    <row r="346" spans="1:3" ht="14.25" customHeight="1">
      <c r="A346" s="173"/>
      <c r="B346" s="173"/>
      <c r="C346" s="173"/>
    </row>
    <row r="347" spans="1:3" ht="14.25" customHeight="1">
      <c r="A347" s="173"/>
      <c r="B347" s="173"/>
      <c r="C347" s="173"/>
    </row>
    <row r="348" spans="1:3" ht="14.25" customHeight="1">
      <c r="A348" s="173"/>
      <c r="B348" s="173"/>
      <c r="C348" s="173"/>
    </row>
    <row r="349" spans="1:3" ht="14.25" customHeight="1">
      <c r="A349" s="173"/>
      <c r="B349" s="173"/>
      <c r="C349" s="173"/>
    </row>
    <row r="350" spans="1:3" ht="14.25" customHeight="1">
      <c r="A350" s="173"/>
      <c r="B350" s="173"/>
      <c r="C350" s="173"/>
    </row>
    <row r="351" spans="1:3" ht="14.25" customHeight="1">
      <c r="A351" s="173"/>
      <c r="B351" s="173"/>
      <c r="C351" s="173"/>
    </row>
    <row r="352" spans="1:3" ht="14.25" customHeight="1">
      <c r="A352" s="173"/>
      <c r="B352" s="173"/>
      <c r="C352" s="173"/>
    </row>
    <row r="353" spans="1:3" ht="14.25" customHeight="1">
      <c r="A353" s="173"/>
      <c r="B353" s="173"/>
      <c r="C353" s="173"/>
    </row>
    <row r="354" spans="1:3" ht="14.25" customHeight="1">
      <c r="A354" s="173"/>
      <c r="B354" s="173"/>
      <c r="C354" s="173"/>
    </row>
    <row r="355" spans="1:3" ht="14.25" customHeight="1">
      <c r="A355" s="173"/>
      <c r="B355" s="173"/>
      <c r="C355" s="173"/>
    </row>
    <row r="356" spans="1:3" ht="14.25" customHeight="1">
      <c r="A356" s="173"/>
      <c r="B356" s="173"/>
      <c r="C356" s="173"/>
    </row>
    <row r="357" spans="1:3" ht="14.25" customHeight="1">
      <c r="A357" s="173"/>
      <c r="B357" s="173"/>
      <c r="C357" s="173"/>
    </row>
    <row r="358" spans="1:3" ht="14.25" customHeight="1">
      <c r="A358" s="173"/>
      <c r="B358" s="173"/>
      <c r="C358" s="173"/>
    </row>
    <row r="359" spans="1:3" ht="14.25" customHeight="1">
      <c r="A359" s="173"/>
      <c r="B359" s="173"/>
      <c r="C359" s="173"/>
    </row>
    <row r="360" spans="1:3" ht="14.25" customHeight="1">
      <c r="A360" s="173"/>
      <c r="B360" s="173"/>
      <c r="C360" s="173"/>
    </row>
    <row r="361" spans="1:3" ht="14.25" customHeight="1">
      <c r="A361" s="173"/>
      <c r="B361" s="173"/>
      <c r="C361" s="173"/>
    </row>
    <row r="362" spans="1:3" ht="14.25" customHeight="1">
      <c r="A362" s="173"/>
      <c r="B362" s="173"/>
      <c r="C362" s="173"/>
    </row>
    <row r="363" spans="1:3" ht="14.25" customHeight="1">
      <c r="A363" s="173"/>
      <c r="B363" s="173"/>
      <c r="C363" s="173"/>
    </row>
    <row r="364" spans="1:3" ht="14.25" customHeight="1">
      <c r="A364" s="173"/>
      <c r="B364" s="173"/>
      <c r="C364" s="173"/>
    </row>
    <row r="365" spans="1:3" ht="14.25" customHeight="1">
      <c r="A365" s="173"/>
      <c r="B365" s="173"/>
      <c r="C365" s="173"/>
    </row>
    <row r="366" spans="1:3" ht="14.25" customHeight="1">
      <c r="A366" s="173"/>
      <c r="B366" s="173"/>
      <c r="C366" s="173"/>
    </row>
    <row r="367" spans="1:3" ht="14.25" customHeight="1">
      <c r="A367" s="173"/>
      <c r="B367" s="173"/>
      <c r="C367" s="173"/>
    </row>
    <row r="368" spans="1:3" ht="14.25" customHeight="1">
      <c r="A368" s="173"/>
      <c r="B368" s="173"/>
      <c r="C368" s="173"/>
    </row>
    <row r="369" spans="1:3" ht="14.25" customHeight="1">
      <c r="A369" s="173"/>
      <c r="B369" s="173"/>
      <c r="C369" s="173"/>
    </row>
    <row r="370" spans="1:3" ht="14.25" customHeight="1">
      <c r="A370" s="173"/>
      <c r="B370" s="173"/>
      <c r="C370" s="173"/>
    </row>
    <row r="371" spans="1:3" ht="14.25" customHeight="1">
      <c r="A371" s="173"/>
      <c r="B371" s="173"/>
      <c r="C371" s="173"/>
    </row>
    <row r="372" spans="1:3" ht="14.25" customHeight="1">
      <c r="A372" s="173"/>
      <c r="B372" s="173"/>
      <c r="C372" s="173"/>
    </row>
    <row r="373" spans="1:3" ht="14.25" customHeight="1">
      <c r="A373" s="173"/>
      <c r="B373" s="173"/>
      <c r="C373" s="173"/>
    </row>
    <row r="374" spans="1:3" ht="14.25" customHeight="1">
      <c r="A374" s="173"/>
      <c r="B374" s="173"/>
      <c r="C374" s="173"/>
    </row>
    <row r="375" spans="1:3" ht="14.25" customHeight="1">
      <c r="A375" s="173"/>
      <c r="B375" s="173"/>
      <c r="C375" s="173"/>
    </row>
    <row r="376" spans="1:3" ht="14.25" customHeight="1">
      <c r="A376" s="173"/>
      <c r="B376" s="173"/>
      <c r="C376" s="173"/>
    </row>
    <row r="377" spans="1:3" ht="14.25" customHeight="1">
      <c r="A377" s="173"/>
      <c r="B377" s="173"/>
      <c r="C377" s="173"/>
    </row>
    <row r="378" spans="1:3" ht="14.25" customHeight="1">
      <c r="A378" s="173"/>
      <c r="B378" s="173"/>
      <c r="C378" s="173"/>
    </row>
    <row r="379" spans="1:3" ht="14.25" customHeight="1">
      <c r="A379" s="173"/>
      <c r="B379" s="173"/>
      <c r="C379" s="173"/>
    </row>
    <row r="380" spans="1:3" ht="14.25" customHeight="1">
      <c r="A380" s="173"/>
      <c r="B380" s="173"/>
      <c r="C380" s="173"/>
    </row>
    <row r="381" spans="1:3" ht="14.25" customHeight="1">
      <c r="A381" s="173"/>
      <c r="B381" s="173"/>
      <c r="C381" s="173"/>
    </row>
    <row r="382" spans="1:3" ht="14.25" customHeight="1">
      <c r="A382" s="173"/>
      <c r="B382" s="173"/>
      <c r="C382" s="173"/>
    </row>
    <row r="383" spans="1:3" ht="14.25" customHeight="1">
      <c r="A383" s="173"/>
      <c r="B383" s="173"/>
      <c r="C383" s="173"/>
    </row>
    <row r="384" spans="1:3" ht="14.25" customHeight="1">
      <c r="A384" s="173"/>
      <c r="B384" s="173"/>
      <c r="C384" s="173"/>
    </row>
    <row r="385" spans="1:3" ht="14.25" customHeight="1">
      <c r="A385" s="173"/>
      <c r="B385" s="173"/>
      <c r="C385" s="173"/>
    </row>
    <row r="386" spans="1:3" ht="14.25" customHeight="1">
      <c r="A386" s="173"/>
      <c r="B386" s="173"/>
      <c r="C386" s="173"/>
    </row>
    <row r="387" spans="1:3" ht="14.25" customHeight="1">
      <c r="A387" s="173"/>
      <c r="B387" s="173"/>
      <c r="C387" s="173"/>
    </row>
    <row r="388" spans="1:3" ht="14.25" customHeight="1">
      <c r="A388" s="173"/>
      <c r="B388" s="173"/>
      <c r="C388" s="173"/>
    </row>
    <row r="389" spans="1:3" ht="14.25" customHeight="1">
      <c r="A389" s="173"/>
      <c r="B389" s="173"/>
      <c r="C389" s="173"/>
    </row>
    <row r="390" spans="1:3" ht="14.25" customHeight="1">
      <c r="A390" s="173"/>
      <c r="B390" s="173"/>
      <c r="C390" s="173"/>
    </row>
    <row r="391" spans="1:3" ht="14.25" customHeight="1">
      <c r="A391" s="173"/>
      <c r="B391" s="173"/>
      <c r="C391" s="173"/>
    </row>
    <row r="392" spans="1:3" ht="14.25" customHeight="1">
      <c r="A392" s="173"/>
      <c r="B392" s="173"/>
      <c r="C392" s="173"/>
    </row>
    <row r="393" spans="1:3" ht="14.25" customHeight="1">
      <c r="A393" s="173"/>
      <c r="B393" s="173"/>
      <c r="C393" s="173"/>
    </row>
    <row r="394" spans="1:3" ht="14.25" customHeight="1">
      <c r="A394" s="173"/>
      <c r="B394" s="173"/>
      <c r="C394" s="173"/>
    </row>
    <row r="395" spans="1:3" ht="14.25" customHeight="1">
      <c r="A395" s="173"/>
      <c r="B395" s="173"/>
      <c r="C395" s="173"/>
    </row>
    <row r="396" spans="1:3" ht="14.25" customHeight="1">
      <c r="A396" s="173"/>
      <c r="B396" s="173"/>
      <c r="C396" s="173"/>
    </row>
    <row r="397" spans="1:3" ht="14.25" customHeight="1">
      <c r="A397" s="173"/>
      <c r="B397" s="173"/>
      <c r="C397" s="173"/>
    </row>
    <row r="398" spans="1:3" ht="14.25" customHeight="1">
      <c r="A398" s="173"/>
      <c r="B398" s="173"/>
      <c r="C398" s="173"/>
    </row>
    <row r="399" spans="1:3" ht="14.25" customHeight="1">
      <c r="A399" s="173"/>
      <c r="B399" s="173"/>
      <c r="C399" s="173"/>
    </row>
    <row r="400" spans="1:3" ht="14.25" customHeight="1">
      <c r="A400" s="173"/>
      <c r="B400" s="173"/>
      <c r="C400" s="173"/>
    </row>
    <row r="401" spans="1:3" ht="14.25" customHeight="1">
      <c r="A401" s="173"/>
      <c r="B401" s="173"/>
      <c r="C401" s="173"/>
    </row>
    <row r="402" spans="1:3" ht="14.25" customHeight="1">
      <c r="A402" s="173"/>
      <c r="B402" s="173"/>
      <c r="C402" s="173"/>
    </row>
    <row r="403" spans="1:3" ht="14.25" customHeight="1">
      <c r="A403" s="173"/>
      <c r="B403" s="173"/>
      <c r="C403" s="173"/>
    </row>
    <row r="404" spans="1:3" ht="14.25" customHeight="1">
      <c r="A404" s="173"/>
      <c r="B404" s="173"/>
      <c r="C404" s="173"/>
    </row>
    <row r="405" spans="1:3" ht="14.25" customHeight="1">
      <c r="A405" s="173"/>
      <c r="B405" s="173"/>
      <c r="C405" s="173"/>
    </row>
    <row r="406" spans="1:3" ht="14.25" customHeight="1">
      <c r="A406" s="173"/>
      <c r="B406" s="173"/>
      <c r="C406" s="173"/>
    </row>
    <row r="407" spans="1:3" ht="14.25" customHeight="1">
      <c r="A407" s="173"/>
      <c r="B407" s="173"/>
      <c r="C407" s="173"/>
    </row>
    <row r="408" spans="1:3" ht="14.25" customHeight="1">
      <c r="A408" s="173"/>
      <c r="B408" s="173"/>
      <c r="C408" s="173"/>
    </row>
    <row r="409" spans="1:3" ht="14.25" customHeight="1">
      <c r="A409" s="173"/>
      <c r="B409" s="173"/>
      <c r="C409" s="173"/>
    </row>
    <row r="410" spans="1:3" ht="14.25" customHeight="1">
      <c r="A410" s="173"/>
      <c r="B410" s="173"/>
      <c r="C410" s="173"/>
    </row>
    <row r="411" spans="1:3" ht="14.25" customHeight="1">
      <c r="A411" s="173"/>
      <c r="B411" s="173"/>
      <c r="C411" s="173"/>
    </row>
    <row r="412" spans="1:3" ht="14.25" customHeight="1">
      <c r="A412" s="173"/>
      <c r="B412" s="173"/>
      <c r="C412" s="173"/>
    </row>
    <row r="413" spans="1:3" ht="14.25" customHeight="1">
      <c r="A413" s="173"/>
      <c r="B413" s="173"/>
      <c r="C413" s="173"/>
    </row>
    <row r="414" spans="1:3" ht="14.25" customHeight="1">
      <c r="A414" s="173"/>
      <c r="B414" s="173"/>
      <c r="C414" s="173"/>
    </row>
    <row r="415" spans="1:3" ht="14.25" customHeight="1">
      <c r="A415" s="173"/>
      <c r="B415" s="173"/>
      <c r="C415" s="173"/>
    </row>
    <row r="416" spans="1:3" ht="14.25" customHeight="1">
      <c r="A416" s="173"/>
      <c r="B416" s="173"/>
      <c r="C416" s="173"/>
    </row>
    <row r="417" spans="1:3" ht="14.25" customHeight="1">
      <c r="A417" s="173"/>
      <c r="B417" s="173"/>
      <c r="C417" s="173"/>
    </row>
    <row r="418" spans="1:3" ht="14.25" customHeight="1">
      <c r="A418" s="173"/>
      <c r="B418" s="173"/>
      <c r="C418" s="173"/>
    </row>
    <row r="419" spans="1:3" ht="14.25" customHeight="1">
      <c r="A419" s="173"/>
      <c r="B419" s="173"/>
      <c r="C419" s="173"/>
    </row>
    <row r="420" spans="1:3" ht="14.25" customHeight="1">
      <c r="A420" s="173"/>
      <c r="B420" s="173"/>
      <c r="C420" s="173"/>
    </row>
    <row r="421" spans="1:3" ht="14.25" customHeight="1">
      <c r="A421" s="173"/>
      <c r="B421" s="173"/>
      <c r="C421" s="173"/>
    </row>
    <row r="422" spans="1:3" ht="14.25" customHeight="1">
      <c r="A422" s="173"/>
      <c r="B422" s="173"/>
      <c r="C422" s="173"/>
    </row>
    <row r="423" spans="1:3" ht="14.25" customHeight="1">
      <c r="A423" s="173"/>
      <c r="B423" s="173"/>
      <c r="C423" s="173"/>
    </row>
    <row r="424" spans="1:3" ht="14.25" customHeight="1">
      <c r="A424" s="173"/>
      <c r="B424" s="173"/>
      <c r="C424" s="173"/>
    </row>
    <row r="425" spans="1:3" ht="14.25" customHeight="1">
      <c r="A425" s="173"/>
      <c r="B425" s="173"/>
      <c r="C425" s="173"/>
    </row>
    <row r="426" spans="1:3" ht="14.25" customHeight="1">
      <c r="A426" s="173"/>
      <c r="B426" s="173"/>
      <c r="C426" s="173"/>
    </row>
    <row r="427" spans="1:3" ht="14.25" customHeight="1">
      <c r="A427" s="173"/>
      <c r="B427" s="173"/>
      <c r="C427" s="173"/>
    </row>
    <row r="428" spans="1:3" ht="14.25" customHeight="1">
      <c r="A428" s="173"/>
      <c r="B428" s="173"/>
      <c r="C428" s="173"/>
    </row>
    <row r="429" spans="1:3" ht="14.25" customHeight="1">
      <c r="A429" s="173"/>
      <c r="B429" s="173"/>
      <c r="C429" s="173"/>
    </row>
    <row r="430" spans="1:3" ht="14.25" customHeight="1">
      <c r="A430" s="173"/>
      <c r="B430" s="173"/>
      <c r="C430" s="173"/>
    </row>
    <row r="431" spans="1:3" ht="14.25" customHeight="1">
      <c r="A431" s="173"/>
      <c r="B431" s="173"/>
      <c r="C431" s="173"/>
    </row>
    <row r="432" spans="1:3" ht="14.25" customHeight="1">
      <c r="A432" s="173"/>
      <c r="B432" s="173"/>
      <c r="C432" s="173"/>
    </row>
    <row r="433" spans="1:3" ht="14.25" customHeight="1">
      <c r="A433" s="173"/>
      <c r="B433" s="173"/>
      <c r="C433" s="173"/>
    </row>
    <row r="434" spans="1:3" ht="14.25" customHeight="1">
      <c r="A434" s="173"/>
      <c r="B434" s="173"/>
      <c r="C434" s="173"/>
    </row>
    <row r="435" spans="1:3" ht="14.25" customHeight="1">
      <c r="A435" s="173"/>
      <c r="B435" s="173"/>
      <c r="C435" s="173"/>
    </row>
    <row r="436" spans="1:3" ht="14.25" customHeight="1">
      <c r="A436" s="173"/>
      <c r="B436" s="173"/>
      <c r="C436" s="173"/>
    </row>
    <row r="437" spans="1:3" ht="14.25" customHeight="1">
      <c r="A437" s="173"/>
      <c r="B437" s="173"/>
      <c r="C437" s="173"/>
    </row>
    <row r="438" spans="1:3" ht="14.25" customHeight="1">
      <c r="A438" s="173"/>
      <c r="B438" s="173"/>
      <c r="C438" s="173"/>
    </row>
    <row r="439" spans="1:3" ht="14.25" customHeight="1">
      <c r="A439" s="173"/>
      <c r="B439" s="173"/>
      <c r="C439" s="173"/>
    </row>
    <row r="440" spans="1:3" ht="14.25" customHeight="1">
      <c r="A440" s="173"/>
      <c r="B440" s="173"/>
      <c r="C440" s="173"/>
    </row>
    <row r="441" spans="1:3" ht="14.25" customHeight="1">
      <c r="A441" s="173"/>
      <c r="B441" s="173"/>
      <c r="C441" s="173"/>
    </row>
    <row r="442" spans="1:3" ht="14.25" customHeight="1">
      <c r="A442" s="173"/>
      <c r="B442" s="173"/>
      <c r="C442" s="173"/>
    </row>
    <row r="443" spans="1:3" ht="14.25" customHeight="1">
      <c r="A443" s="173"/>
      <c r="B443" s="173"/>
      <c r="C443" s="173"/>
    </row>
    <row r="444" spans="1:3" ht="14.25" customHeight="1">
      <c r="A444" s="173"/>
      <c r="B444" s="173"/>
      <c r="C444" s="173"/>
    </row>
    <row r="445" spans="1:3" ht="14.25" customHeight="1">
      <c r="A445" s="173"/>
      <c r="B445" s="173"/>
      <c r="C445" s="173"/>
    </row>
    <row r="446" spans="1:3" ht="14.25" customHeight="1">
      <c r="A446" s="173"/>
      <c r="B446" s="173"/>
      <c r="C446" s="173"/>
    </row>
    <row r="447" spans="1:3" ht="14.25" customHeight="1">
      <c r="A447" s="173"/>
      <c r="B447" s="173"/>
      <c r="C447" s="173"/>
    </row>
    <row r="448" spans="1:3" ht="14.25" customHeight="1">
      <c r="A448" s="173"/>
      <c r="B448" s="173"/>
      <c r="C448" s="173"/>
    </row>
    <row r="449" spans="1:3" ht="14.25" customHeight="1">
      <c r="A449" s="173"/>
      <c r="B449" s="173"/>
      <c r="C449" s="173"/>
    </row>
    <row r="450" spans="1:3" ht="14.25" customHeight="1">
      <c r="A450" s="173"/>
      <c r="B450" s="173"/>
      <c r="C450" s="173"/>
    </row>
    <row r="451" spans="1:3" ht="14.25" customHeight="1">
      <c r="A451" s="173"/>
      <c r="B451" s="173"/>
      <c r="C451" s="173"/>
    </row>
    <row r="452" spans="1:3" ht="14.25" customHeight="1">
      <c r="A452" s="173"/>
      <c r="B452" s="173"/>
      <c r="C452" s="173"/>
    </row>
    <row r="453" spans="1:3" ht="14.25" customHeight="1">
      <c r="A453" s="173"/>
      <c r="B453" s="173"/>
      <c r="C453" s="173"/>
    </row>
    <row r="454" spans="1:3" ht="14.25" customHeight="1">
      <c r="A454" s="173"/>
      <c r="B454" s="173"/>
      <c r="C454" s="173"/>
    </row>
    <row r="455" spans="1:3" ht="14.25" customHeight="1">
      <c r="A455" s="173"/>
      <c r="B455" s="173"/>
      <c r="C455" s="173"/>
    </row>
    <row r="456" spans="1:3" ht="14.25" customHeight="1">
      <c r="A456" s="173"/>
      <c r="B456" s="173"/>
      <c r="C456" s="173"/>
    </row>
    <row r="457" spans="1:3" ht="14.25" customHeight="1">
      <c r="A457" s="173"/>
      <c r="B457" s="173"/>
      <c r="C457" s="173"/>
    </row>
    <row r="458" spans="1:3" ht="14.25" customHeight="1">
      <c r="A458" s="173"/>
      <c r="B458" s="173"/>
      <c r="C458" s="173"/>
    </row>
    <row r="459" spans="1:3" ht="14.25" customHeight="1">
      <c r="A459" s="173"/>
      <c r="B459" s="173"/>
      <c r="C459" s="173"/>
    </row>
    <row r="460" spans="1:3" ht="14.25" customHeight="1">
      <c r="A460" s="173"/>
      <c r="B460" s="173"/>
      <c r="C460" s="173"/>
    </row>
    <row r="461" spans="1:3" ht="14.25" customHeight="1">
      <c r="A461" s="173"/>
      <c r="B461" s="173"/>
      <c r="C461" s="173"/>
    </row>
    <row r="462" spans="1:3" ht="14.25" customHeight="1">
      <c r="A462" s="173"/>
      <c r="B462" s="173"/>
      <c r="C462" s="173"/>
    </row>
    <row r="463" spans="1:3" ht="14.25" customHeight="1">
      <c r="A463" s="173"/>
      <c r="B463" s="173"/>
      <c r="C463" s="173"/>
    </row>
    <row r="464" spans="1:3" ht="14.25" customHeight="1">
      <c r="A464" s="173"/>
      <c r="B464" s="173"/>
      <c r="C464" s="173"/>
    </row>
    <row r="465" spans="1:3" ht="14.25" customHeight="1">
      <c r="A465" s="173"/>
      <c r="B465" s="173"/>
      <c r="C465" s="173"/>
    </row>
    <row r="466" spans="1:3" ht="14.25" customHeight="1">
      <c r="A466" s="173"/>
      <c r="B466" s="173"/>
      <c r="C466" s="173"/>
    </row>
    <row r="467" spans="1:3" ht="14.25" customHeight="1">
      <c r="A467" s="173"/>
      <c r="B467" s="173"/>
      <c r="C467" s="173"/>
    </row>
    <row r="468" spans="1:3" ht="14.25" customHeight="1">
      <c r="A468" s="173"/>
      <c r="B468" s="173"/>
      <c r="C468" s="173"/>
    </row>
    <row r="469" spans="1:3" ht="14.25" customHeight="1">
      <c r="A469" s="173"/>
      <c r="B469" s="173"/>
      <c r="C469" s="173"/>
    </row>
    <row r="470" spans="1:3" ht="14.25" customHeight="1">
      <c r="A470" s="173"/>
      <c r="B470" s="173"/>
      <c r="C470" s="173"/>
    </row>
    <row r="471" spans="1:3" ht="14.25" customHeight="1">
      <c r="A471" s="173"/>
      <c r="B471" s="173"/>
      <c r="C471" s="173"/>
    </row>
    <row r="472" spans="1:3" ht="14.25" customHeight="1">
      <c r="A472" s="173"/>
      <c r="B472" s="173"/>
      <c r="C472" s="173"/>
    </row>
    <row r="473" spans="1:3" ht="14.25" customHeight="1">
      <c r="A473" s="173"/>
      <c r="B473" s="173"/>
      <c r="C473" s="173"/>
    </row>
    <row r="474" spans="1:3" ht="14.25" customHeight="1">
      <c r="A474" s="173"/>
      <c r="B474" s="173"/>
      <c r="C474" s="173"/>
    </row>
    <row r="475" spans="1:3" ht="14.25" customHeight="1">
      <c r="A475" s="173"/>
      <c r="B475" s="173"/>
      <c r="C475" s="173"/>
    </row>
    <row r="476" spans="1:3" ht="14.25" customHeight="1">
      <c r="A476" s="173"/>
      <c r="B476" s="173"/>
      <c r="C476" s="173"/>
    </row>
    <row r="477" spans="1:3" ht="14.25" customHeight="1">
      <c r="A477" s="173"/>
      <c r="B477" s="173"/>
      <c r="C477" s="173"/>
    </row>
    <row r="478" spans="1:3" ht="14.25" customHeight="1">
      <c r="A478" s="173"/>
      <c r="B478" s="173"/>
      <c r="C478" s="173"/>
    </row>
    <row r="479" spans="1:3" ht="14.25" customHeight="1">
      <c r="A479" s="173"/>
      <c r="B479" s="173"/>
      <c r="C479" s="173"/>
    </row>
    <row r="480" spans="1:3" ht="14.25" customHeight="1">
      <c r="A480" s="173"/>
      <c r="B480" s="173"/>
      <c r="C480" s="173"/>
    </row>
    <row r="481" spans="1:3" ht="14.25" customHeight="1">
      <c r="A481" s="173"/>
      <c r="B481" s="173"/>
      <c r="C481" s="173"/>
    </row>
    <row r="482" spans="1:3" ht="14.25" customHeight="1">
      <c r="A482" s="173"/>
      <c r="B482" s="173"/>
      <c r="C482" s="173"/>
    </row>
    <row r="483" spans="1:3" ht="14.25" customHeight="1">
      <c r="A483" s="173"/>
      <c r="B483" s="173"/>
      <c r="C483" s="173"/>
    </row>
    <row r="484" spans="1:3" ht="14.25" customHeight="1">
      <c r="A484" s="173"/>
      <c r="B484" s="173"/>
      <c r="C484" s="173"/>
    </row>
    <row r="485" spans="1:3" ht="14.25" customHeight="1">
      <c r="A485" s="173"/>
      <c r="B485" s="173"/>
      <c r="C485" s="173"/>
    </row>
    <row r="486" spans="1:3" ht="14.25" customHeight="1">
      <c r="A486" s="173"/>
      <c r="B486" s="173"/>
      <c r="C486" s="173"/>
    </row>
    <row r="487" spans="1:3" ht="14.25" customHeight="1">
      <c r="A487" s="173"/>
      <c r="B487" s="173"/>
      <c r="C487" s="173"/>
    </row>
    <row r="488" spans="1:3" ht="14.25" customHeight="1">
      <c r="A488" s="173"/>
      <c r="B488" s="173"/>
      <c r="C488" s="173"/>
    </row>
    <row r="489" spans="1:3" ht="14.25" customHeight="1">
      <c r="A489" s="173"/>
      <c r="B489" s="173"/>
      <c r="C489" s="173"/>
    </row>
    <row r="490" spans="1:3" ht="14.25" customHeight="1">
      <c r="A490" s="173"/>
      <c r="B490" s="173"/>
      <c r="C490" s="173"/>
    </row>
    <row r="491" spans="1:3" ht="14.25" customHeight="1">
      <c r="A491" s="173"/>
      <c r="B491" s="173"/>
      <c r="C491" s="173"/>
    </row>
    <row r="492" spans="1:3" ht="14.25" customHeight="1">
      <c r="A492" s="173"/>
      <c r="B492" s="173"/>
      <c r="C492" s="173"/>
    </row>
    <row r="493" spans="1:3" ht="14.25" customHeight="1">
      <c r="A493" s="173"/>
      <c r="B493" s="173"/>
      <c r="C493" s="173"/>
    </row>
    <row r="494" spans="1:3" ht="14.25" customHeight="1">
      <c r="A494" s="173"/>
      <c r="B494" s="173"/>
      <c r="C494" s="173"/>
    </row>
    <row r="495" spans="1:3" ht="14.25" customHeight="1">
      <c r="A495" s="173"/>
      <c r="B495" s="173"/>
      <c r="C495" s="173"/>
    </row>
    <row r="496" spans="1:3" ht="14.25" customHeight="1">
      <c r="A496" s="173"/>
      <c r="B496" s="173"/>
      <c r="C496" s="173"/>
    </row>
    <row r="497" spans="1:3" ht="14.25" customHeight="1">
      <c r="A497" s="173"/>
      <c r="B497" s="173"/>
      <c r="C497" s="173"/>
    </row>
    <row r="498" spans="1:3" ht="14.25" customHeight="1">
      <c r="A498" s="173"/>
      <c r="B498" s="173"/>
      <c r="C498" s="173"/>
    </row>
    <row r="499" spans="1:3" ht="14.25" customHeight="1">
      <c r="A499" s="173"/>
      <c r="B499" s="173"/>
      <c r="C499" s="173"/>
    </row>
    <row r="500" spans="1:3" ht="14.25" customHeight="1">
      <c r="A500" s="173"/>
      <c r="B500" s="173"/>
      <c r="C500" s="173"/>
    </row>
    <row r="501" spans="1:3" ht="14.25" customHeight="1">
      <c r="A501" s="173"/>
      <c r="B501" s="173"/>
      <c r="C501" s="173"/>
    </row>
    <row r="502" spans="1:3" ht="14.25" customHeight="1">
      <c r="A502" s="173"/>
      <c r="B502" s="173"/>
      <c r="C502" s="173"/>
    </row>
    <row r="503" spans="1:3" ht="14.25" customHeight="1">
      <c r="A503" s="173"/>
      <c r="B503" s="173"/>
      <c r="C503" s="173"/>
    </row>
    <row r="504" spans="1:3" ht="14.25" customHeight="1">
      <c r="A504" s="173"/>
      <c r="B504" s="173"/>
      <c r="C504" s="173"/>
    </row>
    <row r="505" spans="1:3" ht="14.25" customHeight="1">
      <c r="A505" s="173"/>
      <c r="B505" s="173"/>
      <c r="C505" s="173"/>
    </row>
    <row r="506" spans="1:3" ht="14.25" customHeight="1">
      <c r="A506" s="173"/>
      <c r="B506" s="173"/>
      <c r="C506" s="173"/>
    </row>
    <row r="507" spans="1:3" ht="14.25" customHeight="1">
      <c r="A507" s="173"/>
      <c r="B507" s="173"/>
      <c r="C507" s="173"/>
    </row>
    <row r="508" spans="1:3" ht="14.25" customHeight="1">
      <c r="A508" s="173"/>
      <c r="B508" s="173"/>
      <c r="C508" s="173"/>
    </row>
    <row r="509" spans="1:3" ht="14.25" customHeight="1">
      <c r="A509" s="173"/>
      <c r="B509" s="173"/>
      <c r="C509" s="173"/>
    </row>
    <row r="510" spans="1:3" ht="14.25" customHeight="1">
      <c r="A510" s="173"/>
      <c r="B510" s="173"/>
      <c r="C510" s="173"/>
    </row>
    <row r="511" spans="1:3" ht="14.25" customHeight="1">
      <c r="A511" s="173"/>
      <c r="B511" s="173"/>
      <c r="C511" s="173"/>
    </row>
    <row r="512" spans="1:3" ht="14.25" customHeight="1">
      <c r="A512" s="173"/>
      <c r="B512" s="173"/>
      <c r="C512" s="173"/>
    </row>
    <row r="513" spans="1:3" ht="14.25" customHeight="1">
      <c r="A513" s="173"/>
      <c r="B513" s="173"/>
      <c r="C513" s="173"/>
    </row>
    <row r="514" spans="1:3" ht="14.25" customHeight="1">
      <c r="A514" s="173"/>
      <c r="B514" s="173"/>
      <c r="C514" s="173"/>
    </row>
    <row r="515" spans="1:3" ht="14.25" customHeight="1">
      <c r="A515" s="173"/>
      <c r="B515" s="173"/>
      <c r="C515" s="173"/>
    </row>
    <row r="516" spans="1:3" ht="14.25" customHeight="1">
      <c r="A516" s="173"/>
      <c r="B516" s="173"/>
      <c r="C516" s="173"/>
    </row>
    <row r="517" spans="1:3" ht="14.25" customHeight="1">
      <c r="A517" s="173"/>
      <c r="B517" s="173"/>
      <c r="C517" s="173"/>
    </row>
    <row r="518" spans="1:3" ht="14.25" customHeight="1">
      <c r="A518" s="173"/>
      <c r="B518" s="173"/>
      <c r="C518" s="173"/>
    </row>
    <row r="519" spans="1:3" ht="14.25" customHeight="1">
      <c r="A519" s="173"/>
      <c r="B519" s="173"/>
      <c r="C519" s="173"/>
    </row>
    <row r="520" spans="1:3" ht="14.25" customHeight="1">
      <c r="A520" s="173"/>
      <c r="B520" s="173"/>
      <c r="C520" s="173"/>
    </row>
    <row r="521" spans="1:3" ht="14.25" customHeight="1">
      <c r="A521" s="173"/>
      <c r="B521" s="173"/>
      <c r="C521" s="173"/>
    </row>
    <row r="522" spans="1:3" ht="14.25" customHeight="1">
      <c r="A522" s="173"/>
      <c r="B522" s="173"/>
      <c r="C522" s="173"/>
    </row>
    <row r="523" spans="1:3" ht="14.25" customHeight="1">
      <c r="A523" s="173"/>
      <c r="B523" s="173"/>
      <c r="C523" s="173"/>
    </row>
    <row r="524" spans="1:3" ht="14.25" customHeight="1">
      <c r="A524" s="173"/>
      <c r="B524" s="173"/>
      <c r="C524" s="173"/>
    </row>
    <row r="525" spans="1:3" ht="14.25" customHeight="1">
      <c r="A525" s="173"/>
      <c r="B525" s="173"/>
      <c r="C525" s="173"/>
    </row>
    <row r="526" spans="1:3" ht="14.25" customHeight="1">
      <c r="A526" s="173"/>
      <c r="B526" s="173"/>
      <c r="C526" s="173"/>
    </row>
    <row r="527" spans="1:3" ht="14.25" customHeight="1">
      <c r="A527" s="173"/>
      <c r="B527" s="173"/>
      <c r="C527" s="173"/>
    </row>
    <row r="528" spans="1:3" ht="14.25" customHeight="1">
      <c r="A528" s="173"/>
      <c r="B528" s="173"/>
      <c r="C528" s="173"/>
    </row>
    <row r="529" spans="1:3" ht="14.25" customHeight="1">
      <c r="A529" s="173"/>
      <c r="B529" s="173"/>
      <c r="C529" s="173"/>
    </row>
    <row r="530" spans="1:3" ht="14.25" customHeight="1">
      <c r="A530" s="173"/>
      <c r="B530" s="173"/>
      <c r="C530" s="173"/>
    </row>
    <row r="531" spans="1:3" ht="14.25" customHeight="1">
      <c r="A531" s="173"/>
      <c r="B531" s="173"/>
      <c r="C531" s="173"/>
    </row>
    <row r="532" spans="1:3" ht="14.25" customHeight="1">
      <c r="A532" s="173"/>
      <c r="B532" s="173"/>
      <c r="C532" s="173"/>
    </row>
    <row r="533" spans="1:3" ht="14.25" customHeight="1">
      <c r="A533" s="173"/>
      <c r="B533" s="173"/>
      <c r="C533" s="173"/>
    </row>
    <row r="534" spans="1:3" ht="14.25" customHeight="1">
      <c r="A534" s="173"/>
      <c r="B534" s="173"/>
      <c r="C534" s="173"/>
    </row>
    <row r="535" spans="1:3" ht="14.25" customHeight="1">
      <c r="A535" s="173"/>
      <c r="B535" s="173"/>
      <c r="C535" s="173"/>
    </row>
    <row r="536" spans="1:3" ht="14.25" customHeight="1">
      <c r="A536" s="173"/>
      <c r="B536" s="173"/>
      <c r="C536" s="173"/>
    </row>
    <row r="537" spans="1:3" ht="14.25" customHeight="1">
      <c r="A537" s="173"/>
      <c r="B537" s="173"/>
      <c r="C537" s="173"/>
    </row>
    <row r="538" spans="1:3" ht="14.25" customHeight="1">
      <c r="A538" s="173"/>
      <c r="B538" s="173"/>
      <c r="C538" s="173"/>
    </row>
    <row r="539" spans="1:3" ht="14.25" customHeight="1">
      <c r="A539" s="173"/>
      <c r="B539" s="173"/>
      <c r="C539" s="173"/>
    </row>
    <row r="540" spans="1:3" ht="14.25" customHeight="1">
      <c r="A540" s="173"/>
      <c r="B540" s="173"/>
      <c r="C540" s="173"/>
    </row>
    <row r="541" spans="1:3" ht="14.25" customHeight="1">
      <c r="A541" s="173"/>
      <c r="B541" s="173"/>
      <c r="C541" s="173"/>
    </row>
    <row r="542" spans="1:3" ht="14.25" customHeight="1">
      <c r="A542" s="173"/>
      <c r="B542" s="173"/>
      <c r="C542" s="173"/>
    </row>
    <row r="543" spans="1:3" ht="14.25" customHeight="1">
      <c r="A543" s="173"/>
      <c r="B543" s="173"/>
      <c r="C543" s="173"/>
    </row>
    <row r="544" spans="1:3" ht="14.25" customHeight="1">
      <c r="A544" s="173"/>
      <c r="B544" s="173"/>
      <c r="C544" s="173"/>
    </row>
    <row r="545" spans="1:3" ht="14.25" customHeight="1">
      <c r="A545" s="173"/>
      <c r="B545" s="173"/>
      <c r="C545" s="173"/>
    </row>
    <row r="546" spans="1:3" ht="14.25" customHeight="1">
      <c r="A546" s="173"/>
      <c r="B546" s="173"/>
      <c r="C546" s="173"/>
    </row>
    <row r="547" spans="1:3" ht="14.25" customHeight="1">
      <c r="A547" s="173"/>
      <c r="B547" s="173"/>
      <c r="C547" s="173"/>
    </row>
    <row r="548" spans="1:3" ht="14.25" customHeight="1">
      <c r="A548" s="173"/>
      <c r="B548" s="173"/>
      <c r="C548" s="173"/>
    </row>
    <row r="549" spans="1:3" ht="14.25" customHeight="1">
      <c r="A549" s="173"/>
      <c r="B549" s="173"/>
      <c r="C549" s="173"/>
    </row>
    <row r="550" spans="1:3" ht="14.25" customHeight="1">
      <c r="A550" s="173"/>
      <c r="B550" s="173"/>
      <c r="C550" s="173"/>
    </row>
    <row r="551" spans="1:3" ht="14.25" customHeight="1">
      <c r="A551" s="173"/>
      <c r="B551" s="173"/>
      <c r="C551" s="173"/>
    </row>
    <row r="552" spans="1:3" ht="14.25" customHeight="1">
      <c r="A552" s="173"/>
      <c r="B552" s="173"/>
      <c r="C552" s="173"/>
    </row>
    <row r="553" spans="1:3" ht="14.25" customHeight="1">
      <c r="A553" s="173"/>
      <c r="B553" s="173"/>
      <c r="C553" s="173"/>
    </row>
    <row r="554" spans="1:3" ht="14.25" customHeight="1">
      <c r="A554" s="173"/>
      <c r="B554" s="173"/>
      <c r="C554" s="173"/>
    </row>
    <row r="555" spans="1:3" ht="14.25" customHeight="1">
      <c r="A555" s="173"/>
      <c r="B555" s="173"/>
      <c r="C555" s="173"/>
    </row>
    <row r="556" spans="1:3" ht="14.25" customHeight="1">
      <c r="A556" s="173"/>
      <c r="B556" s="173"/>
      <c r="C556" s="173"/>
    </row>
    <row r="557" spans="1:3" ht="14.25" customHeight="1">
      <c r="A557" s="173"/>
      <c r="B557" s="173"/>
      <c r="C557" s="173"/>
    </row>
    <row r="558" spans="1:3" ht="14.25" customHeight="1">
      <c r="A558" s="173"/>
      <c r="B558" s="173"/>
      <c r="C558" s="173"/>
    </row>
    <row r="559" spans="1:3" ht="14.25" customHeight="1">
      <c r="A559" s="173"/>
      <c r="B559" s="173"/>
      <c r="C559" s="173"/>
    </row>
    <row r="560" spans="1:3" ht="14.25" customHeight="1">
      <c r="A560" s="173"/>
      <c r="B560" s="173"/>
      <c r="C560" s="173"/>
    </row>
    <row r="561" spans="1:3" ht="14.25" customHeight="1">
      <c r="A561" s="173"/>
      <c r="B561" s="173"/>
      <c r="C561" s="173"/>
    </row>
    <row r="562" spans="1:3" ht="14.25" customHeight="1">
      <c r="A562" s="173"/>
      <c r="B562" s="173"/>
      <c r="C562" s="173"/>
    </row>
    <row r="563" spans="1:3" ht="14.25" customHeight="1">
      <c r="A563" s="173"/>
      <c r="B563" s="173"/>
      <c r="C563" s="173"/>
    </row>
    <row r="564" spans="1:3" ht="14.25" customHeight="1">
      <c r="A564" s="173"/>
      <c r="B564" s="173"/>
      <c r="C564" s="173"/>
    </row>
    <row r="565" spans="1:3" ht="14.25" customHeight="1">
      <c r="A565" s="173"/>
      <c r="B565" s="173"/>
      <c r="C565" s="173"/>
    </row>
    <row r="566" spans="1:3" ht="14.25" customHeight="1">
      <c r="A566" s="173"/>
      <c r="B566" s="173"/>
      <c r="C566" s="173"/>
    </row>
    <row r="567" spans="1:3" ht="14.25" customHeight="1">
      <c r="A567" s="173"/>
      <c r="B567" s="173"/>
      <c r="C567" s="173"/>
    </row>
    <row r="568" spans="1:3" ht="14.25" customHeight="1">
      <c r="A568" s="173"/>
      <c r="B568" s="173"/>
      <c r="C568" s="173"/>
    </row>
    <row r="569" spans="1:3" ht="14.25" customHeight="1">
      <c r="A569" s="173"/>
      <c r="B569" s="173"/>
      <c r="C569" s="173"/>
    </row>
    <row r="570" spans="1:3" ht="14.25" customHeight="1">
      <c r="A570" s="173"/>
      <c r="B570" s="173"/>
      <c r="C570" s="173"/>
    </row>
    <row r="571" spans="1:3" ht="14.25" customHeight="1">
      <c r="A571" s="173"/>
      <c r="B571" s="173"/>
      <c r="C571" s="173"/>
    </row>
    <row r="572" spans="1:3" ht="14.25" customHeight="1">
      <c r="A572" s="173"/>
      <c r="B572" s="173"/>
      <c r="C572" s="173"/>
    </row>
    <row r="573" spans="1:3" ht="14.25" customHeight="1">
      <c r="A573" s="173"/>
      <c r="B573" s="173"/>
      <c r="C573" s="173"/>
    </row>
    <row r="574" spans="1:3" ht="14.25" customHeight="1">
      <c r="A574" s="173"/>
      <c r="B574" s="173"/>
      <c r="C574" s="173"/>
    </row>
    <row r="575" spans="1:3" ht="14.25" customHeight="1">
      <c r="A575" s="173"/>
      <c r="B575" s="173"/>
      <c r="C575" s="173"/>
    </row>
    <row r="576" spans="1:3" ht="14.25" customHeight="1">
      <c r="A576" s="173"/>
      <c r="B576" s="173"/>
      <c r="C576" s="173"/>
    </row>
    <row r="577" spans="1:3" ht="14.25" customHeight="1">
      <c r="A577" s="173"/>
      <c r="B577" s="173"/>
      <c r="C577" s="173"/>
    </row>
    <row r="578" spans="1:3" ht="14.25" customHeight="1">
      <c r="A578" s="173"/>
      <c r="B578" s="173"/>
      <c r="C578" s="173"/>
    </row>
    <row r="579" spans="1:3" ht="14.25" customHeight="1">
      <c r="A579" s="173"/>
      <c r="B579" s="173"/>
      <c r="C579" s="173"/>
    </row>
    <row r="580" spans="1:3" ht="14.25" customHeight="1">
      <c r="A580" s="173"/>
      <c r="B580" s="173"/>
      <c r="C580" s="173"/>
    </row>
    <row r="581" spans="1:3" ht="14.25" customHeight="1">
      <c r="A581" s="173"/>
      <c r="B581" s="173"/>
      <c r="C581" s="173"/>
    </row>
    <row r="582" spans="1:3" ht="14.25" customHeight="1">
      <c r="A582" s="173"/>
      <c r="B582" s="173"/>
      <c r="C582" s="173"/>
    </row>
    <row r="583" spans="1:3" ht="14.25" customHeight="1">
      <c r="A583" s="173"/>
      <c r="B583" s="173"/>
      <c r="C583" s="173"/>
    </row>
    <row r="584" spans="1:3" ht="14.25" customHeight="1">
      <c r="A584" s="173"/>
      <c r="B584" s="173"/>
      <c r="C584" s="173"/>
    </row>
    <row r="585" spans="1:3" ht="14.25" customHeight="1">
      <c r="A585" s="173"/>
      <c r="B585" s="173"/>
      <c r="C585" s="173"/>
    </row>
    <row r="586" spans="1:3" ht="14.25" customHeight="1">
      <c r="A586" s="173"/>
      <c r="B586" s="173"/>
      <c r="C586" s="173"/>
    </row>
    <row r="587" spans="1:3" ht="14.25" customHeight="1">
      <c r="A587" s="173"/>
      <c r="B587" s="173"/>
      <c r="C587" s="173"/>
    </row>
    <row r="588" spans="1:3" ht="14.25" customHeight="1">
      <c r="A588" s="173"/>
      <c r="B588" s="173"/>
      <c r="C588" s="173"/>
    </row>
    <row r="589" spans="1:3" ht="14.25" customHeight="1">
      <c r="A589" s="173"/>
      <c r="B589" s="173"/>
      <c r="C589" s="173"/>
    </row>
    <row r="590" spans="1:3" ht="14.25" customHeight="1">
      <c r="A590" s="173"/>
      <c r="B590" s="173"/>
      <c r="C590" s="173"/>
    </row>
    <row r="591" spans="1:3" ht="14.25" customHeight="1">
      <c r="A591" s="173"/>
      <c r="B591" s="173"/>
      <c r="C591" s="173"/>
    </row>
    <row r="592" spans="1:3" ht="14.25" customHeight="1">
      <c r="A592" s="173"/>
      <c r="B592" s="173"/>
      <c r="C592" s="173"/>
    </row>
    <row r="593" spans="1:3" ht="14.25" customHeight="1">
      <c r="A593" s="173"/>
      <c r="B593" s="173"/>
      <c r="C593" s="173"/>
    </row>
    <row r="594" spans="1:3" ht="14.25" customHeight="1">
      <c r="A594" s="173"/>
      <c r="B594" s="173"/>
      <c r="C594" s="173"/>
    </row>
    <row r="595" spans="1:3" ht="14.25" customHeight="1">
      <c r="A595" s="173"/>
      <c r="B595" s="173"/>
      <c r="C595" s="173"/>
    </row>
    <row r="596" spans="1:3" ht="14.25" customHeight="1">
      <c r="A596" s="173"/>
      <c r="B596" s="173"/>
      <c r="C596" s="173"/>
    </row>
    <row r="597" spans="1:3" ht="14.25" customHeight="1">
      <c r="A597" s="173"/>
      <c r="B597" s="173"/>
      <c r="C597" s="173"/>
    </row>
    <row r="598" spans="1:3" ht="14.25" customHeight="1">
      <c r="A598" s="173"/>
      <c r="B598" s="173"/>
      <c r="C598" s="173"/>
    </row>
    <row r="599" spans="1:3" ht="14.25" customHeight="1">
      <c r="A599" s="173"/>
      <c r="B599" s="173"/>
      <c r="C599" s="173"/>
    </row>
    <row r="600" spans="1:3" ht="14.25" customHeight="1">
      <c r="A600" s="173"/>
      <c r="B600" s="173"/>
      <c r="C600" s="173"/>
    </row>
    <row r="601" spans="1:3" ht="14.25" customHeight="1">
      <c r="A601" s="173"/>
      <c r="B601" s="173"/>
      <c r="C601" s="173"/>
    </row>
    <row r="602" spans="1:3" ht="14.25" customHeight="1">
      <c r="A602" s="173"/>
      <c r="B602" s="173"/>
      <c r="C602" s="173"/>
    </row>
    <row r="603" spans="1:3" ht="14.25" customHeight="1">
      <c r="A603" s="173"/>
      <c r="B603" s="173"/>
      <c r="C603" s="173"/>
    </row>
    <row r="604" spans="1:3" ht="14.25" customHeight="1">
      <c r="A604" s="173"/>
      <c r="B604" s="173"/>
      <c r="C604" s="173"/>
    </row>
    <row r="605" spans="1:3" ht="14.25" customHeight="1">
      <c r="A605" s="173"/>
      <c r="B605" s="173"/>
      <c r="C605" s="173"/>
    </row>
    <row r="606" spans="1:3" ht="14.25" customHeight="1">
      <c r="A606" s="173"/>
      <c r="B606" s="173"/>
      <c r="C606" s="173"/>
    </row>
    <row r="607" spans="1:3" ht="14.25" customHeight="1">
      <c r="A607" s="173"/>
      <c r="B607" s="173"/>
      <c r="C607" s="173"/>
    </row>
    <row r="608" spans="1:3" ht="14.25" customHeight="1">
      <c r="A608" s="173"/>
      <c r="B608" s="173"/>
      <c r="C608" s="173"/>
    </row>
    <row r="609" spans="1:3" ht="14.25" customHeight="1">
      <c r="A609" s="173"/>
      <c r="B609" s="173"/>
      <c r="C609" s="173"/>
    </row>
    <row r="610" spans="1:3" ht="14.25" customHeight="1">
      <c r="A610" s="173"/>
      <c r="B610" s="173"/>
      <c r="C610" s="173"/>
    </row>
    <row r="611" spans="1:3" ht="14.25" customHeight="1">
      <c r="A611" s="173"/>
      <c r="B611" s="173"/>
      <c r="C611" s="173"/>
    </row>
    <row r="612" spans="1:3" ht="14.25" customHeight="1">
      <c r="A612" s="173"/>
      <c r="B612" s="173"/>
      <c r="C612" s="173"/>
    </row>
    <row r="613" spans="1:3" ht="14.25" customHeight="1">
      <c r="A613" s="173"/>
      <c r="B613" s="173"/>
      <c r="C613" s="173"/>
    </row>
    <row r="614" spans="1:3" ht="14.25" customHeight="1">
      <c r="A614" s="173"/>
      <c r="B614" s="173"/>
      <c r="C614" s="173"/>
    </row>
    <row r="615" spans="1:3" ht="14.25" customHeight="1">
      <c r="A615" s="173"/>
      <c r="B615" s="173"/>
      <c r="C615" s="173"/>
    </row>
    <row r="616" spans="1:3" ht="14.25" customHeight="1">
      <c r="A616" s="173"/>
      <c r="B616" s="173"/>
      <c r="C616" s="173"/>
    </row>
    <row r="617" spans="1:3" ht="14.25" customHeight="1">
      <c r="A617" s="173"/>
      <c r="B617" s="173"/>
      <c r="C617" s="173"/>
    </row>
    <row r="618" spans="1:3" ht="14.25" customHeight="1">
      <c r="A618" s="173"/>
      <c r="B618" s="173"/>
      <c r="C618" s="173"/>
    </row>
    <row r="619" spans="1:3" ht="14.25" customHeight="1">
      <c r="A619" s="173"/>
      <c r="B619" s="173"/>
      <c r="C619" s="173"/>
    </row>
    <row r="620" spans="1:3" ht="14.25" customHeight="1">
      <c r="A620" s="173"/>
      <c r="B620" s="173"/>
      <c r="C620" s="173"/>
    </row>
    <row r="621" spans="1:3" ht="14.25" customHeight="1">
      <c r="A621" s="173"/>
      <c r="B621" s="173"/>
      <c r="C621" s="173"/>
    </row>
    <row r="622" spans="1:3" ht="14.25" customHeight="1">
      <c r="A622" s="173"/>
      <c r="B622" s="173"/>
      <c r="C622" s="173"/>
    </row>
    <row r="623" spans="1:3" ht="14.25" customHeight="1">
      <c r="A623" s="173"/>
      <c r="B623" s="173"/>
      <c r="C623" s="173"/>
    </row>
    <row r="624" spans="1:3" ht="14.25" customHeight="1">
      <c r="A624" s="173"/>
      <c r="B624" s="173"/>
      <c r="C624" s="173"/>
    </row>
    <row r="625" spans="1:3" ht="14.25" customHeight="1">
      <c r="A625" s="173"/>
      <c r="B625" s="173"/>
      <c r="C625" s="173"/>
    </row>
    <row r="626" spans="1:3" ht="14.25" customHeight="1">
      <c r="A626" s="173"/>
      <c r="B626" s="173"/>
      <c r="C626" s="173"/>
    </row>
    <row r="627" spans="1:3" ht="14.25" customHeight="1">
      <c r="A627" s="173"/>
      <c r="B627" s="173"/>
      <c r="C627" s="173"/>
    </row>
    <row r="628" spans="1:3" ht="14.25" customHeight="1">
      <c r="A628" s="173"/>
      <c r="B628" s="173"/>
      <c r="C628" s="173"/>
    </row>
    <row r="629" spans="1:3" ht="14.25" customHeight="1">
      <c r="A629" s="173"/>
      <c r="B629" s="173"/>
      <c r="C629" s="173"/>
    </row>
    <row r="630" spans="1:3" ht="14.25" customHeight="1">
      <c r="A630" s="173"/>
      <c r="B630" s="173"/>
      <c r="C630" s="173"/>
    </row>
    <row r="631" spans="1:3" ht="14.25" customHeight="1">
      <c r="A631" s="173"/>
      <c r="B631" s="173"/>
      <c r="C631" s="173"/>
    </row>
    <row r="632" spans="1:3" ht="14.25" customHeight="1">
      <c r="A632" s="173"/>
      <c r="B632" s="173"/>
      <c r="C632" s="173"/>
    </row>
    <row r="633" spans="1:3" ht="14.25" customHeight="1">
      <c r="A633" s="173"/>
      <c r="B633" s="173"/>
      <c r="C633" s="173"/>
    </row>
    <row r="634" spans="1:3" ht="14.25" customHeight="1">
      <c r="A634" s="173"/>
      <c r="B634" s="173"/>
      <c r="C634" s="173"/>
    </row>
    <row r="635" spans="1:3" ht="14.25" customHeight="1">
      <c r="A635" s="173"/>
      <c r="B635" s="173"/>
      <c r="C635" s="173"/>
    </row>
    <row r="636" spans="1:3" ht="14.25" customHeight="1">
      <c r="A636" s="173"/>
      <c r="B636" s="173"/>
      <c r="C636" s="173"/>
    </row>
    <row r="637" spans="1:3" ht="14.25" customHeight="1">
      <c r="A637" s="173"/>
      <c r="B637" s="173"/>
      <c r="C637" s="173"/>
    </row>
    <row r="638" spans="1:3" ht="14.25" customHeight="1">
      <c r="A638" s="173"/>
      <c r="B638" s="173"/>
      <c r="C638" s="173"/>
    </row>
    <row r="639" spans="1:3" ht="14.25" customHeight="1">
      <c r="A639" s="173"/>
      <c r="B639" s="173"/>
      <c r="C639" s="173"/>
    </row>
    <row r="640" spans="1:3" ht="14.25" customHeight="1">
      <c r="A640" s="173"/>
      <c r="B640" s="173"/>
      <c r="C640" s="173"/>
    </row>
    <row r="641" spans="1:3" ht="14.25" customHeight="1">
      <c r="A641" s="173"/>
      <c r="B641" s="173"/>
      <c r="C641" s="173"/>
    </row>
    <row r="642" spans="1:3" ht="14.25" customHeight="1">
      <c r="A642" s="173"/>
      <c r="B642" s="173"/>
      <c r="C642" s="173"/>
    </row>
    <row r="643" spans="1:3" ht="14.25" customHeight="1">
      <c r="A643" s="173"/>
      <c r="B643" s="173"/>
      <c r="C643" s="173"/>
    </row>
    <row r="644" spans="1:3" ht="14.25" customHeight="1">
      <c r="A644" s="173"/>
      <c r="B644" s="173"/>
      <c r="C644" s="173"/>
    </row>
    <row r="645" spans="1:3" ht="14.25" customHeight="1">
      <c r="A645" s="173"/>
      <c r="B645" s="173"/>
      <c r="C645" s="173"/>
    </row>
    <row r="646" spans="1:3" ht="14.25" customHeight="1">
      <c r="A646" s="173"/>
      <c r="B646" s="173"/>
      <c r="C646" s="173"/>
    </row>
    <row r="647" spans="1:3" ht="14.25" customHeight="1">
      <c r="A647" s="173"/>
      <c r="B647" s="173"/>
      <c r="C647" s="173"/>
    </row>
    <row r="648" spans="1:3" ht="14.25" customHeight="1">
      <c r="A648" s="173"/>
      <c r="B648" s="173"/>
      <c r="C648" s="173"/>
    </row>
    <row r="649" spans="1:3" ht="14.25" customHeight="1">
      <c r="A649" s="173"/>
      <c r="B649" s="173"/>
      <c r="C649" s="173"/>
    </row>
    <row r="650" spans="1:3" ht="14.25" customHeight="1">
      <c r="A650" s="173"/>
      <c r="B650" s="173"/>
      <c r="C650" s="173"/>
    </row>
    <row r="651" spans="1:3" ht="14.25" customHeight="1">
      <c r="A651" s="173"/>
      <c r="B651" s="173"/>
      <c r="C651" s="173"/>
    </row>
    <row r="652" spans="1:3" ht="14.25" customHeight="1">
      <c r="A652" s="173"/>
      <c r="B652" s="173"/>
      <c r="C652" s="173"/>
    </row>
    <row r="653" spans="1:3" ht="14.25" customHeight="1">
      <c r="A653" s="173"/>
      <c r="B653" s="173"/>
      <c r="C653" s="173"/>
    </row>
    <row r="654" spans="1:3" ht="14.25" customHeight="1">
      <c r="A654" s="173"/>
      <c r="B654" s="173"/>
      <c r="C654" s="173"/>
    </row>
    <row r="655" spans="1:3" ht="14.25" customHeight="1">
      <c r="A655" s="173"/>
      <c r="B655" s="173"/>
      <c r="C655" s="173"/>
    </row>
    <row r="656" spans="1:3" ht="14.25" customHeight="1">
      <c r="A656" s="173"/>
      <c r="B656" s="173"/>
      <c r="C656" s="173"/>
    </row>
    <row r="657" spans="1:3" ht="14.25" customHeight="1">
      <c r="A657" s="173"/>
      <c r="B657" s="173"/>
      <c r="C657" s="173"/>
    </row>
    <row r="658" spans="1:3" ht="14.25" customHeight="1">
      <c r="A658" s="173"/>
      <c r="B658" s="173"/>
      <c r="C658" s="173"/>
    </row>
    <row r="659" spans="1:3" ht="14.25" customHeight="1">
      <c r="A659" s="173"/>
      <c r="B659" s="173"/>
      <c r="C659" s="173"/>
    </row>
    <row r="660" spans="1:3" ht="14.25" customHeight="1">
      <c r="A660" s="173"/>
      <c r="B660" s="173"/>
      <c r="C660" s="173"/>
    </row>
    <row r="661" spans="1:3" ht="14.25" customHeight="1">
      <c r="A661" s="173"/>
      <c r="B661" s="173"/>
      <c r="C661" s="173"/>
    </row>
    <row r="662" spans="1:3" ht="14.25" customHeight="1">
      <c r="A662" s="173"/>
      <c r="B662" s="173"/>
      <c r="C662" s="173"/>
    </row>
    <row r="663" spans="1:3" ht="14.25" customHeight="1">
      <c r="A663" s="173"/>
      <c r="B663" s="173"/>
      <c r="C663" s="173"/>
    </row>
    <row r="664" spans="1:3" ht="14.25" customHeight="1">
      <c r="A664" s="173"/>
      <c r="B664" s="173"/>
      <c r="C664" s="173"/>
    </row>
    <row r="665" spans="1:3" ht="14.25" customHeight="1">
      <c r="A665" s="173"/>
      <c r="B665" s="173"/>
      <c r="C665" s="173"/>
    </row>
    <row r="666" spans="1:3" ht="14.25" customHeight="1">
      <c r="A666" s="173"/>
      <c r="B666" s="173"/>
      <c r="C666" s="173"/>
    </row>
    <row r="667" spans="1:3" ht="14.25" customHeight="1">
      <c r="A667" s="173"/>
      <c r="B667" s="173"/>
      <c r="C667" s="173"/>
    </row>
    <row r="668" spans="1:3" ht="14.25" customHeight="1">
      <c r="A668" s="173"/>
      <c r="B668" s="173"/>
      <c r="C668" s="173"/>
    </row>
    <row r="669" spans="1:3" ht="14.25" customHeight="1">
      <c r="A669" s="173"/>
      <c r="B669" s="173"/>
      <c r="C669" s="173"/>
    </row>
    <row r="670" spans="1:3" ht="14.25" customHeight="1">
      <c r="A670" s="173"/>
      <c r="B670" s="173"/>
      <c r="C670" s="173"/>
    </row>
    <row r="671" spans="1:3" ht="14.25" customHeight="1">
      <c r="A671" s="173"/>
      <c r="B671" s="173"/>
      <c r="C671" s="173"/>
    </row>
    <row r="672" spans="1:3" ht="14.25" customHeight="1">
      <c r="A672" s="173"/>
      <c r="B672" s="173"/>
      <c r="C672" s="173"/>
    </row>
    <row r="673" spans="1:3" ht="14.25" customHeight="1">
      <c r="A673" s="173"/>
      <c r="B673" s="173"/>
      <c r="C673" s="173"/>
    </row>
    <row r="674" spans="1:3" ht="14.25" customHeight="1">
      <c r="A674" s="173"/>
      <c r="B674" s="173"/>
      <c r="C674" s="173"/>
    </row>
    <row r="675" spans="1:3" ht="14.25" customHeight="1">
      <c r="A675" s="173"/>
      <c r="B675" s="173"/>
      <c r="C675" s="173"/>
    </row>
    <row r="676" spans="1:3" ht="14.25" customHeight="1">
      <c r="A676" s="173"/>
      <c r="B676" s="173"/>
      <c r="C676" s="173"/>
    </row>
    <row r="677" spans="1:3" ht="14.25" customHeight="1">
      <c r="A677" s="173"/>
      <c r="B677" s="173"/>
      <c r="C677" s="173"/>
    </row>
    <row r="678" spans="1:3" ht="14.25" customHeight="1">
      <c r="A678" s="173"/>
      <c r="B678" s="173"/>
      <c r="C678" s="173"/>
    </row>
    <row r="679" spans="1:3" ht="14.25" customHeight="1">
      <c r="A679" s="173"/>
      <c r="B679" s="173"/>
      <c r="C679" s="173"/>
    </row>
    <row r="680" spans="1:3" ht="14.25" customHeight="1">
      <c r="A680" s="173"/>
      <c r="B680" s="173"/>
      <c r="C680" s="173"/>
    </row>
    <row r="681" spans="1:3" ht="14.25" customHeight="1">
      <c r="A681" s="173"/>
      <c r="B681" s="173"/>
      <c r="C681" s="173"/>
    </row>
    <row r="682" spans="1:3" ht="14.25" customHeight="1">
      <c r="A682" s="173"/>
      <c r="B682" s="173"/>
      <c r="C682" s="173"/>
    </row>
    <row r="683" spans="1:3" ht="14.25" customHeight="1">
      <c r="A683" s="173"/>
      <c r="B683" s="173"/>
      <c r="C683" s="173"/>
    </row>
    <row r="684" spans="1:3" ht="14.25" customHeight="1">
      <c r="A684" s="173"/>
      <c r="B684" s="173"/>
      <c r="C684" s="173"/>
    </row>
    <row r="685" spans="1:3" ht="14.25" customHeight="1">
      <c r="A685" s="173"/>
      <c r="B685" s="173"/>
      <c r="C685" s="173"/>
    </row>
    <row r="686" spans="1:3" ht="14.25" customHeight="1">
      <c r="A686" s="173"/>
      <c r="B686" s="173"/>
      <c r="C686" s="173"/>
    </row>
    <row r="687" spans="1:3" ht="14.25" customHeight="1">
      <c r="A687" s="173"/>
      <c r="B687" s="173"/>
      <c r="C687" s="173"/>
    </row>
    <row r="688" spans="1:3" ht="14.25" customHeight="1">
      <c r="A688" s="173"/>
      <c r="B688" s="173"/>
      <c r="C688" s="173"/>
    </row>
    <row r="689" spans="1:3" ht="14.25" customHeight="1">
      <c r="A689" s="173"/>
      <c r="B689" s="173"/>
      <c r="C689" s="173"/>
    </row>
    <row r="690" spans="1:3" ht="14.25" customHeight="1">
      <c r="A690" s="173"/>
      <c r="B690" s="173"/>
      <c r="C690" s="173"/>
    </row>
    <row r="691" spans="1:3" ht="14.25" customHeight="1">
      <c r="A691" s="173"/>
      <c r="B691" s="173"/>
      <c r="C691" s="173"/>
    </row>
    <row r="692" spans="1:3" ht="14.25" customHeight="1">
      <c r="A692" s="173"/>
      <c r="B692" s="173"/>
      <c r="C692" s="173"/>
    </row>
    <row r="693" spans="1:3" ht="14.25" customHeight="1">
      <c r="A693" s="173"/>
      <c r="B693" s="173"/>
      <c r="C693" s="173"/>
    </row>
    <row r="694" spans="1:3" ht="14.25" customHeight="1">
      <c r="A694" s="173"/>
      <c r="B694" s="173"/>
      <c r="C694" s="173"/>
    </row>
    <row r="695" spans="1:3" ht="14.25" customHeight="1">
      <c r="A695" s="173"/>
      <c r="B695" s="173"/>
      <c r="C695" s="173"/>
    </row>
    <row r="696" spans="1:3" ht="14.25" customHeight="1">
      <c r="A696" s="173"/>
      <c r="B696" s="173"/>
      <c r="C696" s="173"/>
    </row>
    <row r="697" spans="1:3" ht="14.25" customHeight="1">
      <c r="A697" s="173"/>
      <c r="B697" s="173"/>
      <c r="C697" s="173"/>
    </row>
    <row r="698" spans="1:3" ht="14.25" customHeight="1">
      <c r="A698" s="173"/>
      <c r="B698" s="173"/>
      <c r="C698" s="173"/>
    </row>
    <row r="699" spans="1:3" ht="14.25" customHeight="1">
      <c r="A699" s="173"/>
      <c r="B699" s="173"/>
      <c r="C699" s="173"/>
    </row>
    <row r="700" spans="1:3" ht="14.25" customHeight="1">
      <c r="A700" s="173"/>
      <c r="B700" s="173"/>
      <c r="C700" s="173"/>
    </row>
    <row r="701" spans="1:3" ht="14.25" customHeight="1">
      <c r="A701" s="173"/>
      <c r="B701" s="173"/>
      <c r="C701" s="173"/>
    </row>
    <row r="702" spans="1:3" ht="14.25" customHeight="1">
      <c r="A702" s="173"/>
      <c r="B702" s="173"/>
      <c r="C702" s="173"/>
    </row>
    <row r="703" spans="1:3" ht="14.25" customHeight="1">
      <c r="A703" s="173"/>
      <c r="B703" s="173"/>
      <c r="C703" s="173"/>
    </row>
    <row r="704" spans="1:3" ht="14.25" customHeight="1">
      <c r="A704" s="173"/>
      <c r="B704" s="173"/>
      <c r="C704" s="173"/>
    </row>
    <row r="705" spans="1:3" ht="14.25" customHeight="1">
      <c r="A705" s="173"/>
      <c r="B705" s="173"/>
      <c r="C705" s="173"/>
    </row>
    <row r="706" spans="1:3" ht="14.25" customHeight="1">
      <c r="A706" s="173"/>
      <c r="B706" s="173"/>
      <c r="C706" s="173"/>
    </row>
    <row r="707" spans="1:3" ht="14.25" customHeight="1">
      <c r="A707" s="173"/>
      <c r="B707" s="173"/>
      <c r="C707" s="173"/>
    </row>
    <row r="708" spans="1:3" ht="14.25" customHeight="1">
      <c r="A708" s="173"/>
      <c r="B708" s="173"/>
      <c r="C708" s="173"/>
    </row>
    <row r="709" spans="1:3" ht="14.25" customHeight="1">
      <c r="A709" s="173"/>
      <c r="B709" s="173"/>
      <c r="C709" s="173"/>
    </row>
    <row r="710" spans="1:3" ht="14.25" customHeight="1">
      <c r="A710" s="173"/>
      <c r="B710" s="173"/>
      <c r="C710" s="173"/>
    </row>
    <row r="711" spans="1:3" ht="14.25" customHeight="1">
      <c r="A711" s="173"/>
      <c r="B711" s="173"/>
      <c r="C711" s="173"/>
    </row>
    <row r="712" spans="1:3" ht="14.25" customHeight="1">
      <c r="A712" s="173"/>
      <c r="B712" s="173"/>
      <c r="C712" s="173"/>
    </row>
    <row r="713" spans="1:3" ht="14.25" customHeight="1">
      <c r="A713" s="173"/>
      <c r="B713" s="173"/>
      <c r="C713" s="173"/>
    </row>
    <row r="714" spans="1:3" ht="14.25" customHeight="1">
      <c r="A714" s="173"/>
      <c r="B714" s="173"/>
      <c r="C714" s="173"/>
    </row>
    <row r="715" spans="1:3" ht="14.25" customHeight="1">
      <c r="A715" s="173"/>
      <c r="B715" s="173"/>
      <c r="C715" s="173"/>
    </row>
    <row r="716" spans="1:3" ht="14.25" customHeight="1">
      <c r="A716" s="173"/>
      <c r="B716" s="173"/>
      <c r="C716" s="173"/>
    </row>
    <row r="717" spans="1:3" ht="14.25" customHeight="1">
      <c r="A717" s="173"/>
      <c r="B717" s="173"/>
      <c r="C717" s="173"/>
    </row>
    <row r="718" spans="1:3" ht="14.25" customHeight="1">
      <c r="A718" s="173"/>
      <c r="B718" s="173"/>
      <c r="C718" s="173"/>
    </row>
    <row r="719" spans="1:3" ht="14.25" customHeight="1">
      <c r="A719" s="173"/>
      <c r="B719" s="173"/>
      <c r="C719" s="173"/>
    </row>
    <row r="720" spans="1:3" ht="14.25" customHeight="1">
      <c r="A720" s="173"/>
      <c r="B720" s="173"/>
      <c r="C720" s="173"/>
    </row>
    <row r="721" spans="1:3" ht="14.25" customHeight="1">
      <c r="A721" s="173"/>
      <c r="B721" s="173"/>
      <c r="C721" s="173"/>
    </row>
    <row r="722" spans="1:3" ht="14.25" customHeight="1">
      <c r="A722" s="173"/>
      <c r="B722" s="173"/>
      <c r="C722" s="173"/>
    </row>
    <row r="723" spans="1:3" ht="14.25" customHeight="1">
      <c r="A723" s="173"/>
      <c r="B723" s="173"/>
      <c r="C723" s="173"/>
    </row>
    <row r="724" spans="1:3" ht="14.25" customHeight="1">
      <c r="A724" s="173"/>
      <c r="B724" s="173"/>
      <c r="C724" s="173"/>
    </row>
    <row r="725" spans="1:3" ht="14.25" customHeight="1">
      <c r="A725" s="173"/>
      <c r="B725" s="173"/>
      <c r="C725" s="173"/>
    </row>
    <row r="726" spans="1:3" ht="14.25" customHeight="1">
      <c r="A726" s="173"/>
      <c r="B726" s="173"/>
      <c r="C726" s="173"/>
    </row>
    <row r="727" spans="1:3" ht="14.25" customHeight="1">
      <c r="A727" s="173"/>
      <c r="B727" s="173"/>
      <c r="C727" s="173"/>
    </row>
    <row r="728" spans="1:3" ht="14.25" customHeight="1">
      <c r="A728" s="173"/>
      <c r="B728" s="173"/>
      <c r="C728" s="173"/>
    </row>
    <row r="729" spans="1:3" ht="14.25" customHeight="1">
      <c r="A729" s="173"/>
      <c r="B729" s="173"/>
      <c r="C729" s="173"/>
    </row>
    <row r="730" spans="1:3" ht="14.25" customHeight="1">
      <c r="A730" s="173"/>
      <c r="B730" s="173"/>
      <c r="C730" s="173"/>
    </row>
    <row r="731" spans="1:3" ht="14.25" customHeight="1">
      <c r="A731" s="173"/>
      <c r="B731" s="173"/>
      <c r="C731" s="173"/>
    </row>
    <row r="732" spans="1:3" ht="14.25" customHeight="1">
      <c r="A732" s="173"/>
      <c r="B732" s="173"/>
      <c r="C732" s="173"/>
    </row>
    <row r="733" spans="1:3" ht="14.25" customHeight="1">
      <c r="A733" s="173"/>
      <c r="B733" s="173"/>
      <c r="C733" s="173"/>
    </row>
    <row r="734" spans="1:3" ht="14.25" customHeight="1">
      <c r="A734" s="173"/>
      <c r="B734" s="173"/>
      <c r="C734" s="173"/>
    </row>
    <row r="735" spans="1:3" ht="14.25" customHeight="1">
      <c r="A735" s="173"/>
      <c r="B735" s="173"/>
      <c r="C735" s="173"/>
    </row>
    <row r="736" spans="1:3" ht="14.25" customHeight="1">
      <c r="A736" s="173"/>
      <c r="B736" s="173"/>
      <c r="C736" s="173"/>
    </row>
    <row r="737" spans="1:3" ht="14.25" customHeight="1">
      <c r="A737" s="173"/>
      <c r="B737" s="173"/>
      <c r="C737" s="173"/>
    </row>
    <row r="738" spans="1:3" ht="14.25" customHeight="1">
      <c r="A738" s="173"/>
      <c r="B738" s="173"/>
      <c r="C738" s="173"/>
    </row>
    <row r="739" spans="1:3" ht="14.25" customHeight="1">
      <c r="A739" s="173"/>
      <c r="B739" s="173"/>
      <c r="C739" s="173"/>
    </row>
    <row r="740" spans="1:3" ht="14.25" customHeight="1">
      <c r="A740" s="173"/>
      <c r="B740" s="173"/>
      <c r="C740" s="173"/>
    </row>
    <row r="741" spans="1:3" ht="14.25" customHeight="1">
      <c r="A741" s="173"/>
      <c r="B741" s="173"/>
      <c r="C741" s="173"/>
    </row>
    <row r="742" spans="1:3" ht="14.25" customHeight="1">
      <c r="A742" s="173"/>
      <c r="B742" s="173"/>
      <c r="C742" s="173"/>
    </row>
    <row r="743" spans="1:3" ht="14.25" customHeight="1">
      <c r="A743" s="173"/>
      <c r="B743" s="173"/>
      <c r="C743" s="173"/>
    </row>
    <row r="744" spans="1:3" ht="14.25" customHeight="1">
      <c r="A744" s="173"/>
      <c r="B744" s="173"/>
      <c r="C744" s="173"/>
    </row>
    <row r="745" spans="1:3" ht="14.25" customHeight="1">
      <c r="A745" s="173"/>
      <c r="B745" s="173"/>
      <c r="C745" s="173"/>
    </row>
    <row r="746" spans="1:3" ht="14.25" customHeight="1">
      <c r="A746" s="173"/>
      <c r="B746" s="173"/>
      <c r="C746" s="173"/>
    </row>
    <row r="747" spans="1:3" ht="14.25" customHeight="1">
      <c r="A747" s="173"/>
      <c r="B747" s="173"/>
      <c r="C747" s="173"/>
    </row>
    <row r="748" spans="1:3" ht="14.25" customHeight="1">
      <c r="A748" s="173"/>
      <c r="B748" s="173"/>
      <c r="C748" s="173"/>
    </row>
    <row r="749" spans="1:3" ht="14.25" customHeight="1">
      <c r="A749" s="173"/>
      <c r="B749" s="173"/>
      <c r="C749" s="173"/>
    </row>
    <row r="750" spans="1:3" ht="14.25" customHeight="1">
      <c r="A750" s="173"/>
      <c r="B750" s="173"/>
      <c r="C750" s="173"/>
    </row>
    <row r="751" spans="1:3" ht="14.25" customHeight="1">
      <c r="A751" s="173"/>
      <c r="B751" s="173"/>
      <c r="C751" s="173"/>
    </row>
    <row r="752" spans="1:3" ht="14.25" customHeight="1">
      <c r="A752" s="173"/>
      <c r="B752" s="173"/>
      <c r="C752" s="173"/>
    </row>
    <row r="753" spans="1:3" ht="14.25" customHeight="1">
      <c r="A753" s="173"/>
      <c r="B753" s="173"/>
      <c r="C753" s="173"/>
    </row>
    <row r="754" spans="1:3" ht="14.25" customHeight="1">
      <c r="A754" s="173"/>
      <c r="B754" s="173"/>
      <c r="C754" s="173"/>
    </row>
    <row r="755" spans="1:3" ht="14.25" customHeight="1">
      <c r="A755" s="173"/>
      <c r="B755" s="173"/>
      <c r="C755" s="173"/>
    </row>
    <row r="756" spans="1:3" ht="14.25" customHeight="1">
      <c r="A756" s="173"/>
      <c r="B756" s="173"/>
      <c r="C756" s="173"/>
    </row>
    <row r="757" spans="1:3" ht="14.25" customHeight="1">
      <c r="A757" s="173"/>
      <c r="B757" s="173"/>
      <c r="C757" s="173"/>
    </row>
    <row r="758" spans="1:3" ht="14.25" customHeight="1">
      <c r="A758" s="173"/>
      <c r="B758" s="173"/>
      <c r="C758" s="173"/>
    </row>
    <row r="759" spans="1:3" ht="14.25" customHeight="1">
      <c r="A759" s="173"/>
      <c r="B759" s="173"/>
      <c r="C759" s="173"/>
    </row>
    <row r="760" spans="1:3" ht="14.25" customHeight="1">
      <c r="A760" s="173"/>
      <c r="B760" s="173"/>
      <c r="C760" s="173"/>
    </row>
    <row r="761" spans="1:3" ht="14.25" customHeight="1">
      <c r="A761" s="173"/>
      <c r="B761" s="173"/>
      <c r="C761" s="173"/>
    </row>
    <row r="762" spans="1:3" ht="14.25" customHeight="1">
      <c r="A762" s="173"/>
      <c r="B762" s="173"/>
      <c r="C762" s="173"/>
    </row>
    <row r="763" spans="1:3" ht="14.25" customHeight="1">
      <c r="A763" s="173"/>
      <c r="B763" s="173"/>
      <c r="C763" s="173"/>
    </row>
    <row r="764" spans="1:3" ht="14.25" customHeight="1">
      <c r="A764" s="173"/>
      <c r="B764" s="173"/>
      <c r="C764" s="173"/>
    </row>
    <row r="765" spans="1:3" ht="14.25" customHeight="1">
      <c r="A765" s="173"/>
      <c r="B765" s="173"/>
      <c r="C765" s="173"/>
    </row>
    <row r="766" spans="1:3" ht="14.25" customHeight="1">
      <c r="A766" s="173"/>
      <c r="B766" s="173"/>
      <c r="C766" s="173"/>
    </row>
    <row r="767" spans="1:3" ht="14.25" customHeight="1">
      <c r="A767" s="173"/>
      <c r="B767" s="173"/>
      <c r="C767" s="173"/>
    </row>
    <row r="768" spans="1:3" ht="14.25" customHeight="1">
      <c r="A768" s="173"/>
      <c r="B768" s="173"/>
      <c r="C768" s="173"/>
    </row>
    <row r="769" spans="1:3" ht="14.25" customHeight="1">
      <c r="A769" s="173"/>
      <c r="B769" s="173"/>
      <c r="C769" s="173"/>
    </row>
    <row r="770" spans="1:3" ht="14.25" customHeight="1">
      <c r="A770" s="173"/>
      <c r="B770" s="173"/>
      <c r="C770" s="173"/>
    </row>
    <row r="771" spans="1:3" ht="14.25" customHeight="1">
      <c r="A771" s="173"/>
      <c r="B771" s="173"/>
      <c r="C771" s="173"/>
    </row>
    <row r="772" spans="1:3" ht="14.25" customHeight="1">
      <c r="A772" s="173"/>
      <c r="B772" s="173"/>
      <c r="C772" s="173"/>
    </row>
    <row r="773" spans="1:3" ht="14.25" customHeight="1">
      <c r="A773" s="173"/>
      <c r="B773" s="173"/>
      <c r="C773" s="173"/>
    </row>
    <row r="774" spans="1:3" ht="14.25" customHeight="1">
      <c r="A774" s="173"/>
      <c r="B774" s="173"/>
      <c r="C774" s="173"/>
    </row>
    <row r="775" spans="1:3" ht="14.25" customHeight="1">
      <c r="A775" s="173"/>
      <c r="B775" s="173"/>
      <c r="C775" s="173"/>
    </row>
    <row r="776" spans="1:3" ht="14.25" customHeight="1">
      <c r="A776" s="173"/>
      <c r="B776" s="173"/>
      <c r="C776" s="173"/>
    </row>
    <row r="777" spans="1:3" ht="14.25" customHeight="1">
      <c r="A777" s="173"/>
      <c r="B777" s="173"/>
      <c r="C777" s="173"/>
    </row>
    <row r="778" spans="1:3" ht="14.25" customHeight="1">
      <c r="A778" s="173"/>
      <c r="B778" s="173"/>
      <c r="C778" s="173"/>
    </row>
    <row r="779" spans="1:3" ht="14.25" customHeight="1">
      <c r="A779" s="173"/>
      <c r="B779" s="173"/>
      <c r="C779" s="173"/>
    </row>
    <row r="780" spans="1:3" ht="14.25" customHeight="1">
      <c r="A780" s="173"/>
      <c r="B780" s="173"/>
      <c r="C780" s="173"/>
    </row>
    <row r="781" spans="1:3" ht="14.25" customHeight="1">
      <c r="A781" s="173"/>
      <c r="B781" s="173"/>
      <c r="C781" s="173"/>
    </row>
    <row r="782" spans="1:3" ht="14.25" customHeight="1">
      <c r="A782" s="173"/>
      <c r="B782" s="173"/>
      <c r="C782" s="173"/>
    </row>
    <row r="783" spans="1:3" ht="14.25" customHeight="1">
      <c r="A783" s="173"/>
      <c r="B783" s="173"/>
      <c r="C783" s="173"/>
    </row>
    <row r="784" spans="1:3" ht="14.25" customHeight="1">
      <c r="A784" s="173"/>
      <c r="B784" s="173"/>
      <c r="C784" s="173"/>
    </row>
    <row r="785" spans="1:3" ht="14.25" customHeight="1">
      <c r="A785" s="173"/>
      <c r="B785" s="173"/>
      <c r="C785" s="173"/>
    </row>
    <row r="786" spans="1:3" ht="14.25" customHeight="1">
      <c r="A786" s="173"/>
      <c r="B786" s="173"/>
      <c r="C786" s="173"/>
    </row>
    <row r="787" spans="1:3" ht="14.25" customHeight="1">
      <c r="A787" s="173"/>
      <c r="B787" s="173"/>
      <c r="C787" s="173"/>
    </row>
    <row r="788" spans="1:3" ht="14.25" customHeight="1">
      <c r="A788" s="173"/>
      <c r="B788" s="173"/>
      <c r="C788" s="173"/>
    </row>
    <row r="789" spans="1:3" ht="14.25" customHeight="1">
      <c r="A789" s="173"/>
      <c r="B789" s="173"/>
      <c r="C789" s="173"/>
    </row>
    <row r="790" spans="1:3" ht="14.25" customHeight="1">
      <c r="A790" s="173"/>
      <c r="B790" s="173"/>
      <c r="C790" s="173"/>
    </row>
    <row r="791" spans="1:3" ht="14.25" customHeight="1">
      <c r="A791" s="173"/>
      <c r="B791" s="173"/>
      <c r="C791" s="173"/>
    </row>
    <row r="792" spans="1:3" ht="14.25" customHeight="1">
      <c r="A792" s="173"/>
      <c r="B792" s="173"/>
      <c r="C792" s="173"/>
    </row>
    <row r="793" spans="1:3" ht="14.25" customHeight="1">
      <c r="A793" s="173"/>
      <c r="B793" s="173"/>
      <c r="C793" s="173"/>
    </row>
    <row r="794" spans="1:3" ht="14.25" customHeight="1">
      <c r="A794" s="173"/>
      <c r="B794" s="173"/>
      <c r="C794" s="173"/>
    </row>
    <row r="795" spans="1:3" ht="14.25" customHeight="1">
      <c r="A795" s="173"/>
      <c r="B795" s="173"/>
      <c r="C795" s="173"/>
    </row>
    <row r="796" spans="1:3" ht="14.25" customHeight="1">
      <c r="A796" s="173"/>
      <c r="B796" s="173"/>
      <c r="C796" s="173"/>
    </row>
    <row r="797" spans="1:3" ht="14.25" customHeight="1">
      <c r="A797" s="173"/>
      <c r="B797" s="173"/>
      <c r="C797" s="173"/>
    </row>
    <row r="798" spans="1:3" ht="14.25" customHeight="1">
      <c r="A798" s="173"/>
      <c r="B798" s="173"/>
      <c r="C798" s="173"/>
    </row>
    <row r="799" spans="1:3" ht="14.25" customHeight="1">
      <c r="A799" s="173"/>
      <c r="B799" s="173"/>
      <c r="C799" s="173"/>
    </row>
    <row r="800" spans="1:3" ht="14.25" customHeight="1">
      <c r="A800" s="173"/>
      <c r="B800" s="173"/>
      <c r="C800" s="173"/>
    </row>
    <row r="801" spans="1:3" ht="14.25" customHeight="1">
      <c r="A801" s="173"/>
      <c r="B801" s="173"/>
      <c r="C801" s="173"/>
    </row>
    <row r="802" spans="1:3" ht="14.25" customHeight="1">
      <c r="A802" s="173"/>
      <c r="B802" s="173"/>
      <c r="C802" s="173"/>
    </row>
    <row r="803" spans="1:3" ht="14.25" customHeight="1">
      <c r="A803" s="173"/>
      <c r="B803" s="173"/>
      <c r="C803" s="173"/>
    </row>
    <row r="804" spans="1:3" ht="14.25" customHeight="1">
      <c r="A804" s="173"/>
      <c r="B804" s="173"/>
      <c r="C804" s="173"/>
    </row>
    <row r="805" spans="1:3" ht="14.25" customHeight="1">
      <c r="A805" s="173"/>
      <c r="B805" s="173"/>
      <c r="C805" s="173"/>
    </row>
    <row r="806" spans="1:3" ht="14.25" customHeight="1">
      <c r="A806" s="173"/>
      <c r="B806" s="173"/>
      <c r="C806" s="173"/>
    </row>
    <row r="807" spans="1:3" ht="14.25" customHeight="1">
      <c r="A807" s="173"/>
      <c r="B807" s="173"/>
      <c r="C807" s="173"/>
    </row>
    <row r="808" spans="1:3" ht="14.25" customHeight="1">
      <c r="A808" s="173"/>
      <c r="B808" s="173"/>
      <c r="C808" s="173"/>
    </row>
    <row r="809" spans="1:3" ht="14.25" customHeight="1">
      <c r="A809" s="173"/>
      <c r="B809" s="173"/>
      <c r="C809" s="173"/>
    </row>
    <row r="810" spans="1:3" ht="14.25" customHeight="1">
      <c r="A810" s="173"/>
      <c r="B810" s="173"/>
      <c r="C810" s="173"/>
    </row>
    <row r="811" spans="1:3" ht="14.25" customHeight="1">
      <c r="A811" s="173"/>
      <c r="B811" s="173"/>
      <c r="C811" s="173"/>
    </row>
    <row r="812" spans="1:3" ht="14.25" customHeight="1">
      <c r="A812" s="173"/>
      <c r="B812" s="173"/>
      <c r="C812" s="173"/>
    </row>
    <row r="813" spans="1:3" ht="14.25" customHeight="1">
      <c r="A813" s="173"/>
      <c r="B813" s="173"/>
      <c r="C813" s="173"/>
    </row>
    <row r="814" spans="1:3" ht="14.25" customHeight="1">
      <c r="A814" s="173"/>
      <c r="B814" s="173"/>
      <c r="C814" s="173"/>
    </row>
    <row r="815" spans="1:3" ht="14.25" customHeight="1">
      <c r="A815" s="173"/>
      <c r="B815" s="173"/>
      <c r="C815" s="173"/>
    </row>
    <row r="816" spans="1:3" ht="14.25" customHeight="1">
      <c r="A816" s="173"/>
      <c r="B816" s="173"/>
      <c r="C816" s="173"/>
    </row>
    <row r="817" spans="1:3" ht="14.25" customHeight="1">
      <c r="A817" s="173"/>
      <c r="B817" s="173"/>
      <c r="C817" s="173"/>
    </row>
    <row r="818" spans="1:3" ht="14.25" customHeight="1">
      <c r="A818" s="173"/>
      <c r="B818" s="173"/>
      <c r="C818" s="173"/>
    </row>
    <row r="819" spans="1:3" ht="14.25" customHeight="1">
      <c r="A819" s="173"/>
      <c r="B819" s="173"/>
      <c r="C819" s="173"/>
    </row>
    <row r="820" spans="1:3" ht="14.25" customHeight="1">
      <c r="A820" s="173"/>
      <c r="B820" s="173"/>
      <c r="C820" s="173"/>
    </row>
    <row r="821" spans="1:3" ht="14.25" customHeight="1">
      <c r="A821" s="173"/>
      <c r="B821" s="173"/>
      <c r="C821" s="173"/>
    </row>
    <row r="822" spans="1:3" ht="14.25" customHeight="1">
      <c r="A822" s="173"/>
      <c r="B822" s="173"/>
      <c r="C822" s="173"/>
    </row>
    <row r="823" spans="1:3" ht="14.25" customHeight="1">
      <c r="A823" s="173"/>
      <c r="B823" s="173"/>
      <c r="C823" s="173"/>
    </row>
    <row r="824" spans="1:3" ht="14.25" customHeight="1">
      <c r="A824" s="173"/>
      <c r="B824" s="173"/>
      <c r="C824" s="173"/>
    </row>
    <row r="825" spans="1:3" ht="14.25" customHeight="1">
      <c r="A825" s="173"/>
      <c r="B825" s="173"/>
      <c r="C825" s="173"/>
    </row>
    <row r="826" spans="1:3" ht="14.25" customHeight="1">
      <c r="A826" s="173"/>
      <c r="B826" s="173"/>
      <c r="C826" s="173"/>
    </row>
    <row r="827" spans="1:3" ht="14.25" customHeight="1">
      <c r="A827" s="173"/>
      <c r="B827" s="173"/>
      <c r="C827" s="173"/>
    </row>
    <row r="828" spans="1:3" ht="14.25" customHeight="1">
      <c r="A828" s="173"/>
      <c r="B828" s="173"/>
      <c r="C828" s="173"/>
    </row>
    <row r="829" spans="1:3" ht="14.25" customHeight="1">
      <c r="A829" s="173"/>
      <c r="B829" s="173"/>
      <c r="C829" s="173"/>
    </row>
    <row r="830" spans="1:3" ht="14.25" customHeight="1">
      <c r="A830" s="173"/>
      <c r="B830" s="173"/>
      <c r="C830" s="173"/>
    </row>
    <row r="831" spans="1:3" ht="14.25" customHeight="1">
      <c r="A831" s="173"/>
      <c r="B831" s="173"/>
      <c r="C831" s="173"/>
    </row>
    <row r="832" spans="1:3" ht="14.25" customHeight="1">
      <c r="A832" s="173"/>
      <c r="B832" s="173"/>
      <c r="C832" s="173"/>
    </row>
    <row r="833" spans="1:3" ht="14.25" customHeight="1">
      <c r="A833" s="173"/>
      <c r="B833" s="173"/>
      <c r="C833" s="173"/>
    </row>
    <row r="834" spans="1:3" ht="14.25" customHeight="1">
      <c r="A834" s="173"/>
      <c r="B834" s="173"/>
      <c r="C834" s="173"/>
    </row>
    <row r="835" spans="1:3" ht="14.25" customHeight="1">
      <c r="A835" s="173"/>
      <c r="B835" s="173"/>
      <c r="C835" s="173"/>
    </row>
    <row r="836" spans="1:3" ht="14.25" customHeight="1">
      <c r="A836" s="173"/>
      <c r="B836" s="173"/>
      <c r="C836" s="173"/>
    </row>
    <row r="837" spans="1:3" ht="14.25" customHeight="1">
      <c r="A837" s="173"/>
      <c r="B837" s="173"/>
      <c r="C837" s="173"/>
    </row>
    <row r="838" spans="1:3" ht="14.25" customHeight="1">
      <c r="A838" s="173"/>
      <c r="B838" s="173"/>
      <c r="C838" s="173"/>
    </row>
    <row r="839" spans="1:3" ht="14.25" customHeight="1">
      <c r="A839" s="173"/>
      <c r="B839" s="173"/>
      <c r="C839" s="173"/>
    </row>
    <row r="840" spans="1:3" ht="14.25" customHeight="1">
      <c r="A840" s="173"/>
      <c r="B840" s="173"/>
      <c r="C840" s="173"/>
    </row>
    <row r="841" spans="1:3" ht="14.25" customHeight="1">
      <c r="A841" s="173"/>
      <c r="B841" s="173"/>
      <c r="C841" s="173"/>
    </row>
    <row r="842" spans="1:3" ht="14.25" customHeight="1">
      <c r="A842" s="173"/>
      <c r="B842" s="173"/>
      <c r="C842" s="173"/>
    </row>
    <row r="843" spans="1:3" ht="14.25" customHeight="1">
      <c r="A843" s="173"/>
      <c r="B843" s="173"/>
      <c r="C843" s="173"/>
    </row>
    <row r="844" spans="1:3" ht="14.25" customHeight="1">
      <c r="A844" s="173"/>
      <c r="B844" s="173"/>
      <c r="C844" s="173"/>
    </row>
    <row r="845" spans="1:3" ht="14.25" customHeight="1">
      <c r="A845" s="173"/>
      <c r="B845" s="173"/>
      <c r="C845" s="173"/>
    </row>
    <row r="846" spans="1:3" ht="14.25" customHeight="1">
      <c r="A846" s="173"/>
      <c r="B846" s="173"/>
      <c r="C846" s="173"/>
    </row>
    <row r="847" spans="1:3" ht="14.25" customHeight="1">
      <c r="A847" s="173"/>
      <c r="B847" s="173"/>
      <c r="C847" s="173"/>
    </row>
    <row r="848" spans="1:3" ht="14.25" customHeight="1">
      <c r="A848" s="173"/>
      <c r="B848" s="173"/>
      <c r="C848" s="173"/>
    </row>
    <row r="849" spans="1:3" ht="14.25" customHeight="1">
      <c r="A849" s="173"/>
      <c r="B849" s="173"/>
      <c r="C849" s="173"/>
    </row>
    <row r="850" spans="1:3" ht="14.25" customHeight="1">
      <c r="A850" s="173"/>
      <c r="B850" s="173"/>
      <c r="C850" s="173"/>
    </row>
    <row r="851" spans="1:3" ht="14.25" customHeight="1">
      <c r="A851" s="173"/>
      <c r="B851" s="173"/>
      <c r="C851" s="173"/>
    </row>
    <row r="852" spans="1:3" ht="14.25" customHeight="1">
      <c r="A852" s="173"/>
      <c r="B852" s="173"/>
      <c r="C852" s="173"/>
    </row>
    <row r="853" spans="1:3" ht="14.25" customHeight="1">
      <c r="A853" s="173"/>
      <c r="B853" s="173"/>
      <c r="C853" s="173"/>
    </row>
    <row r="854" spans="1:3" ht="14.25" customHeight="1">
      <c r="A854" s="173"/>
      <c r="B854" s="173"/>
      <c r="C854" s="173"/>
    </row>
    <row r="855" spans="1:3" ht="14.25" customHeight="1">
      <c r="A855" s="173"/>
      <c r="B855" s="173"/>
      <c r="C855" s="173"/>
    </row>
    <row r="856" spans="1:3" ht="14.25" customHeight="1">
      <c r="A856" s="173"/>
      <c r="B856" s="173"/>
      <c r="C856" s="173"/>
    </row>
    <row r="857" spans="1:3" ht="14.25" customHeight="1">
      <c r="A857" s="173"/>
      <c r="B857" s="173"/>
      <c r="C857" s="173"/>
    </row>
    <row r="858" spans="1:3" ht="14.25" customHeight="1">
      <c r="A858" s="173"/>
      <c r="B858" s="173"/>
      <c r="C858" s="173"/>
    </row>
    <row r="859" spans="1:3" ht="14.25" customHeight="1">
      <c r="A859" s="173"/>
      <c r="B859" s="173"/>
      <c r="C859" s="173"/>
    </row>
    <row r="860" spans="1:3" ht="14.25" customHeight="1">
      <c r="A860" s="173"/>
      <c r="B860" s="173"/>
      <c r="C860" s="173"/>
    </row>
    <row r="861" spans="1:3" ht="14.25" customHeight="1">
      <c r="A861" s="173"/>
      <c r="B861" s="173"/>
      <c r="C861" s="173"/>
    </row>
    <row r="862" spans="1:3" ht="14.25" customHeight="1">
      <c r="A862" s="173"/>
      <c r="B862" s="173"/>
      <c r="C862" s="173"/>
    </row>
    <row r="863" spans="1:3" ht="14.25" customHeight="1">
      <c r="A863" s="173"/>
      <c r="B863" s="173"/>
      <c r="C863" s="173"/>
    </row>
    <row r="864" spans="1:3" ht="14.25" customHeight="1">
      <c r="A864" s="173"/>
      <c r="B864" s="173"/>
      <c r="C864" s="173"/>
    </row>
    <row r="865" spans="1:3" ht="14.25" customHeight="1">
      <c r="A865" s="173"/>
      <c r="B865" s="173"/>
      <c r="C865" s="173"/>
    </row>
    <row r="866" spans="1:3" ht="14.25" customHeight="1">
      <c r="A866" s="173"/>
      <c r="B866" s="173"/>
      <c r="C866" s="173"/>
    </row>
    <row r="867" spans="1:3" ht="14.25" customHeight="1">
      <c r="A867" s="173"/>
      <c r="B867" s="173"/>
      <c r="C867" s="173"/>
    </row>
    <row r="868" spans="1:3" ht="14.25" customHeight="1">
      <c r="A868" s="173"/>
      <c r="B868" s="173"/>
      <c r="C868" s="173"/>
    </row>
    <row r="869" spans="1:3" ht="14.25" customHeight="1">
      <c r="A869" s="173"/>
      <c r="B869" s="173"/>
      <c r="C869" s="173"/>
    </row>
    <row r="870" spans="1:3" ht="14.25" customHeight="1">
      <c r="A870" s="173"/>
      <c r="B870" s="173"/>
      <c r="C870" s="173"/>
    </row>
    <row r="871" spans="1:3" ht="14.25" customHeight="1">
      <c r="A871" s="173"/>
      <c r="B871" s="173"/>
      <c r="C871" s="173"/>
    </row>
    <row r="872" spans="1:3" ht="14.25" customHeight="1">
      <c r="A872" s="173"/>
      <c r="B872" s="173"/>
      <c r="C872" s="173"/>
    </row>
    <row r="873" spans="1:3" ht="14.25" customHeight="1">
      <c r="A873" s="173"/>
      <c r="B873" s="173"/>
      <c r="C873" s="173"/>
    </row>
    <row r="874" spans="1:3" ht="14.25" customHeight="1">
      <c r="A874" s="173"/>
      <c r="B874" s="173"/>
      <c r="C874" s="173"/>
    </row>
    <row r="875" spans="1:3" ht="14.25" customHeight="1">
      <c r="A875" s="173"/>
      <c r="B875" s="173"/>
      <c r="C875" s="173"/>
    </row>
    <row r="876" spans="1:3" ht="14.25" customHeight="1">
      <c r="A876" s="173"/>
      <c r="B876" s="173"/>
      <c r="C876" s="173"/>
    </row>
    <row r="877" spans="1:3" ht="14.25" customHeight="1">
      <c r="A877" s="173"/>
      <c r="B877" s="173"/>
      <c r="C877" s="173"/>
    </row>
    <row r="878" spans="1:3" ht="14.25" customHeight="1">
      <c r="A878" s="173"/>
      <c r="B878" s="173"/>
      <c r="C878" s="173"/>
    </row>
    <row r="879" spans="1:3" ht="14.25" customHeight="1">
      <c r="A879" s="173"/>
      <c r="B879" s="173"/>
      <c r="C879" s="173"/>
    </row>
    <row r="880" spans="1:3" ht="14.25" customHeight="1">
      <c r="A880" s="173"/>
      <c r="B880" s="173"/>
      <c r="C880" s="173"/>
    </row>
    <row r="881" spans="1:3" ht="14.25" customHeight="1">
      <c r="A881" s="173"/>
      <c r="B881" s="173"/>
      <c r="C881" s="173"/>
    </row>
    <row r="882" spans="1:3" ht="14.25" customHeight="1">
      <c r="A882" s="173"/>
      <c r="B882" s="173"/>
      <c r="C882" s="173"/>
    </row>
    <row r="883" spans="1:3" ht="14.25" customHeight="1">
      <c r="A883" s="173"/>
      <c r="B883" s="173"/>
      <c r="C883" s="173"/>
    </row>
    <row r="884" spans="1:3" ht="14.25" customHeight="1">
      <c r="A884" s="173"/>
      <c r="B884" s="173"/>
      <c r="C884" s="173"/>
    </row>
    <row r="885" spans="1:3" ht="14.25" customHeight="1">
      <c r="A885" s="173"/>
      <c r="B885" s="173"/>
      <c r="C885" s="173"/>
    </row>
    <row r="886" spans="1:3" ht="14.25" customHeight="1">
      <c r="A886" s="173"/>
      <c r="B886" s="173"/>
      <c r="C886" s="173"/>
    </row>
    <row r="887" spans="1:3" ht="14.25" customHeight="1">
      <c r="A887" s="173"/>
      <c r="B887" s="173"/>
      <c r="C887" s="173"/>
    </row>
    <row r="888" spans="1:3" ht="14.25" customHeight="1">
      <c r="A888" s="173"/>
      <c r="B888" s="173"/>
      <c r="C888" s="173"/>
    </row>
    <row r="889" spans="1:3" ht="14.25" customHeight="1">
      <c r="A889" s="173"/>
      <c r="B889" s="173"/>
      <c r="C889" s="173"/>
    </row>
    <row r="890" spans="1:3" ht="14.25" customHeight="1">
      <c r="A890" s="173"/>
      <c r="B890" s="173"/>
      <c r="C890" s="173"/>
    </row>
    <row r="891" spans="1:3" ht="14.25" customHeight="1">
      <c r="A891" s="173"/>
      <c r="B891" s="173"/>
      <c r="C891" s="173"/>
    </row>
    <row r="892" spans="1:3" ht="14.25" customHeight="1">
      <c r="A892" s="173"/>
      <c r="B892" s="173"/>
      <c r="C892" s="173"/>
    </row>
    <row r="893" spans="1:3" ht="14.25" customHeight="1">
      <c r="A893" s="173"/>
      <c r="B893" s="173"/>
      <c r="C893" s="173"/>
    </row>
    <row r="894" spans="1:3" ht="14.25" customHeight="1">
      <c r="A894" s="173"/>
      <c r="B894" s="173"/>
      <c r="C894" s="173"/>
    </row>
    <row r="895" spans="1:3" ht="14.25" customHeight="1">
      <c r="A895" s="173"/>
      <c r="B895" s="173"/>
      <c r="C895" s="173"/>
    </row>
    <row r="896" spans="1:3" ht="14.25" customHeight="1">
      <c r="A896" s="173"/>
      <c r="B896" s="173"/>
      <c r="C896" s="173"/>
    </row>
    <row r="897" spans="1:3" ht="14.25" customHeight="1">
      <c r="A897" s="173"/>
      <c r="B897" s="173"/>
      <c r="C897" s="173"/>
    </row>
    <row r="898" spans="1:3" ht="14.25" customHeight="1">
      <c r="A898" s="173"/>
      <c r="B898" s="173"/>
      <c r="C898" s="173"/>
    </row>
    <row r="899" spans="1:3" ht="14.25" customHeight="1">
      <c r="A899" s="173"/>
      <c r="B899" s="173"/>
      <c r="C899" s="173"/>
    </row>
    <row r="900" spans="1:3" ht="14.25" customHeight="1">
      <c r="A900" s="173"/>
      <c r="B900" s="173"/>
      <c r="C900" s="173"/>
    </row>
    <row r="901" spans="1:3" ht="14.25" customHeight="1">
      <c r="A901" s="173"/>
      <c r="B901" s="173"/>
      <c r="C901" s="173"/>
    </row>
    <row r="902" spans="1:3" ht="14.25" customHeight="1">
      <c r="A902" s="173"/>
      <c r="B902" s="173"/>
      <c r="C902" s="173"/>
    </row>
    <row r="903" spans="1:3" ht="14.25" customHeight="1">
      <c r="A903" s="173"/>
      <c r="B903" s="173"/>
      <c r="C903" s="173"/>
    </row>
    <row r="904" spans="1:3" ht="14.25" customHeight="1">
      <c r="A904" s="173"/>
      <c r="B904" s="173"/>
      <c r="C904" s="173"/>
    </row>
    <row r="905" spans="1:3" ht="14.25" customHeight="1">
      <c r="A905" s="173"/>
      <c r="B905" s="173"/>
      <c r="C905" s="173"/>
    </row>
    <row r="906" spans="1:3" ht="14.25" customHeight="1">
      <c r="A906" s="173"/>
      <c r="B906" s="173"/>
      <c r="C906" s="173"/>
    </row>
    <row r="907" spans="1:3" ht="14.25" customHeight="1">
      <c r="A907" s="173"/>
      <c r="B907" s="173"/>
      <c r="C907" s="173"/>
    </row>
    <row r="908" spans="1:3" ht="14.25" customHeight="1">
      <c r="A908" s="173"/>
      <c r="B908" s="173"/>
      <c r="C908" s="173"/>
    </row>
    <row r="909" spans="1:3" ht="14.25" customHeight="1">
      <c r="A909" s="173"/>
      <c r="B909" s="173"/>
      <c r="C909" s="173"/>
    </row>
    <row r="910" spans="1:3" ht="14.25" customHeight="1">
      <c r="A910" s="173"/>
      <c r="B910" s="173"/>
      <c r="C910" s="173"/>
    </row>
    <row r="911" spans="1:3" ht="14.25" customHeight="1">
      <c r="A911" s="173"/>
      <c r="B911" s="173"/>
      <c r="C911" s="173"/>
    </row>
    <row r="912" spans="1:3" ht="14.25" customHeight="1">
      <c r="A912" s="173"/>
      <c r="B912" s="173"/>
      <c r="C912" s="173"/>
    </row>
    <row r="913" spans="1:3" ht="14.25" customHeight="1">
      <c r="A913" s="173"/>
      <c r="B913" s="173"/>
      <c r="C913" s="173"/>
    </row>
    <row r="914" spans="1:3" ht="14.25" customHeight="1">
      <c r="A914" s="173"/>
      <c r="B914" s="173"/>
      <c r="C914" s="173"/>
    </row>
    <row r="915" spans="1:3" ht="14.25" customHeight="1">
      <c r="A915" s="173"/>
      <c r="B915" s="173"/>
      <c r="C915" s="173"/>
    </row>
    <row r="916" spans="1:3" ht="14.25" customHeight="1">
      <c r="A916" s="173"/>
      <c r="B916" s="173"/>
      <c r="C916" s="173"/>
    </row>
    <row r="917" spans="1:3" ht="14.25" customHeight="1">
      <c r="A917" s="173"/>
      <c r="B917" s="173"/>
      <c r="C917" s="173"/>
    </row>
    <row r="918" spans="1:3" ht="14.25" customHeight="1">
      <c r="A918" s="173"/>
      <c r="B918" s="173"/>
      <c r="C918" s="173"/>
    </row>
    <row r="919" spans="1:3" ht="14.25" customHeight="1">
      <c r="A919" s="173"/>
      <c r="B919" s="173"/>
      <c r="C919" s="173"/>
    </row>
    <row r="920" spans="1:3" ht="14.25" customHeight="1">
      <c r="A920" s="173"/>
      <c r="B920" s="173"/>
      <c r="C920" s="173"/>
    </row>
    <row r="921" spans="1:3" ht="14.25" customHeight="1">
      <c r="A921" s="173"/>
      <c r="B921" s="173"/>
      <c r="C921" s="173"/>
    </row>
    <row r="922" spans="1:3" ht="14.25" customHeight="1">
      <c r="A922" s="173"/>
      <c r="B922" s="173"/>
      <c r="C922" s="173"/>
    </row>
    <row r="923" spans="1:3" ht="14.25" customHeight="1">
      <c r="A923" s="173"/>
      <c r="B923" s="173"/>
      <c r="C923" s="173"/>
    </row>
    <row r="924" spans="1:3" ht="14.25" customHeight="1">
      <c r="A924" s="173"/>
      <c r="B924" s="173"/>
      <c r="C924" s="173"/>
    </row>
    <row r="925" spans="1:3" ht="14.25" customHeight="1">
      <c r="A925" s="173"/>
      <c r="B925" s="173"/>
      <c r="C925" s="173"/>
    </row>
    <row r="926" spans="1:3" ht="14.25" customHeight="1">
      <c r="A926" s="173"/>
      <c r="B926" s="173"/>
      <c r="C926" s="173"/>
    </row>
    <row r="927" spans="1:3" ht="14.25" customHeight="1">
      <c r="A927" s="173"/>
      <c r="B927" s="173"/>
      <c r="C927" s="173"/>
    </row>
    <row r="928" spans="1:3" ht="14.25" customHeight="1">
      <c r="A928" s="173"/>
      <c r="B928" s="173"/>
      <c r="C928" s="173"/>
    </row>
    <row r="929" spans="1:3" ht="14.25" customHeight="1">
      <c r="A929" s="173"/>
      <c r="B929" s="173"/>
      <c r="C929" s="173"/>
    </row>
    <row r="930" spans="1:3" ht="14.25" customHeight="1">
      <c r="A930" s="173"/>
      <c r="B930" s="173"/>
      <c r="C930" s="173"/>
    </row>
    <row r="931" spans="1:3" ht="14.25" customHeight="1">
      <c r="A931" s="173"/>
      <c r="B931" s="173"/>
      <c r="C931" s="173"/>
    </row>
    <row r="932" spans="1:3" ht="14.25" customHeight="1">
      <c r="A932" s="173"/>
      <c r="B932" s="173"/>
      <c r="C932" s="173"/>
    </row>
    <row r="933" spans="1:3" ht="14.25" customHeight="1">
      <c r="A933" s="173"/>
      <c r="B933" s="173"/>
      <c r="C933" s="173"/>
    </row>
    <row r="934" spans="1:3" ht="14.25" customHeight="1">
      <c r="A934" s="173"/>
      <c r="B934" s="173"/>
      <c r="C934" s="173"/>
    </row>
    <row r="935" spans="1:3" ht="14.25" customHeight="1">
      <c r="A935" s="173"/>
      <c r="B935" s="173"/>
      <c r="C935" s="173"/>
    </row>
    <row r="936" spans="1:3" ht="14.25" customHeight="1">
      <c r="A936" s="173"/>
      <c r="B936" s="173"/>
      <c r="C936" s="173"/>
    </row>
    <row r="937" spans="1:3" ht="14.25" customHeight="1">
      <c r="A937" s="173"/>
      <c r="B937" s="173"/>
      <c r="C937" s="173"/>
    </row>
    <row r="938" spans="1:3" ht="14.25" customHeight="1">
      <c r="A938" s="173"/>
      <c r="B938" s="173"/>
      <c r="C938" s="173"/>
    </row>
    <row r="939" spans="1:3" ht="14.25" customHeight="1">
      <c r="A939" s="173"/>
      <c r="B939" s="173"/>
      <c r="C939" s="173"/>
    </row>
    <row r="940" spans="1:3" ht="14.25" customHeight="1">
      <c r="A940" s="173"/>
      <c r="B940" s="173"/>
      <c r="C940" s="173"/>
    </row>
    <row r="941" spans="1:3" ht="14.25" customHeight="1">
      <c r="A941" s="173"/>
      <c r="B941" s="173"/>
      <c r="C941" s="173"/>
    </row>
    <row r="942" spans="1:3" ht="14.25" customHeight="1">
      <c r="A942" s="173"/>
      <c r="B942" s="173"/>
      <c r="C942" s="173"/>
    </row>
    <row r="943" spans="1:3" ht="14.25" customHeight="1">
      <c r="A943" s="173"/>
      <c r="B943" s="173"/>
      <c r="C943" s="173"/>
    </row>
    <row r="944" spans="1:3" ht="14.25" customHeight="1">
      <c r="A944" s="173"/>
      <c r="B944" s="173"/>
      <c r="C944" s="173"/>
    </row>
    <row r="945" spans="1:3" ht="14.25" customHeight="1">
      <c r="A945" s="173"/>
      <c r="B945" s="173"/>
      <c r="C945" s="173"/>
    </row>
    <row r="946" spans="1:3" ht="14.25" customHeight="1">
      <c r="A946" s="173"/>
      <c r="B946" s="173"/>
      <c r="C946" s="173"/>
    </row>
    <row r="947" spans="1:3" ht="14.25" customHeight="1">
      <c r="A947" s="173"/>
      <c r="B947" s="173"/>
      <c r="C947" s="173"/>
    </row>
    <row r="948" spans="1:3" ht="14.25" customHeight="1">
      <c r="A948" s="173"/>
      <c r="B948" s="173"/>
      <c r="C948" s="173"/>
    </row>
    <row r="949" spans="1:3" ht="14.25" customHeight="1">
      <c r="A949" s="173"/>
      <c r="B949" s="173"/>
      <c r="C949" s="173"/>
    </row>
    <row r="950" spans="1:3" ht="14.25" customHeight="1">
      <c r="A950" s="173"/>
      <c r="B950" s="173"/>
      <c r="C950" s="173"/>
    </row>
    <row r="951" spans="1:3" ht="14.25" customHeight="1">
      <c r="A951" s="173"/>
      <c r="B951" s="173"/>
      <c r="C951" s="173"/>
    </row>
    <row r="952" spans="1:3" ht="14.25" customHeight="1">
      <c r="A952" s="173"/>
      <c r="B952" s="173"/>
      <c r="C952" s="173"/>
    </row>
    <row r="953" spans="1:3" ht="14.25" customHeight="1">
      <c r="A953" s="173"/>
      <c r="B953" s="173"/>
      <c r="C953" s="173"/>
    </row>
    <row r="954" spans="1:3" ht="14.25" customHeight="1">
      <c r="A954" s="173"/>
      <c r="B954" s="173"/>
      <c r="C954" s="173"/>
    </row>
    <row r="955" spans="1:3" ht="14.25" customHeight="1">
      <c r="A955" s="173"/>
      <c r="B955" s="173"/>
      <c r="C955" s="173"/>
    </row>
    <row r="956" spans="1:3" ht="14.25" customHeight="1">
      <c r="A956" s="173"/>
      <c r="B956" s="173"/>
      <c r="C956" s="173"/>
    </row>
    <row r="957" spans="1:3" ht="14.25" customHeight="1">
      <c r="A957" s="173"/>
      <c r="B957" s="173"/>
      <c r="C957" s="173"/>
    </row>
    <row r="958" spans="1:3" ht="14.25" customHeight="1">
      <c r="A958" s="173"/>
      <c r="B958" s="173"/>
      <c r="C958" s="173"/>
    </row>
    <row r="959" spans="1:3" ht="14.25" customHeight="1">
      <c r="A959" s="173"/>
      <c r="B959" s="173"/>
      <c r="C959" s="173"/>
    </row>
    <row r="960" spans="1:3" ht="14.25" customHeight="1">
      <c r="A960" s="173"/>
      <c r="B960" s="173"/>
      <c r="C960" s="173"/>
    </row>
    <row r="961" spans="1:3" ht="14.25" customHeight="1">
      <c r="A961" s="173"/>
      <c r="B961" s="173"/>
      <c r="C961" s="173"/>
    </row>
    <row r="962" spans="1:3" ht="14.25" customHeight="1">
      <c r="A962" s="173"/>
      <c r="B962" s="173"/>
      <c r="C962" s="173"/>
    </row>
    <row r="963" spans="1:3" ht="14.25" customHeight="1">
      <c r="A963" s="173"/>
      <c r="B963" s="173"/>
      <c r="C963" s="173"/>
    </row>
    <row r="964" spans="1:3" ht="14.25" customHeight="1">
      <c r="A964" s="173"/>
      <c r="B964" s="173"/>
      <c r="C964" s="173"/>
    </row>
    <row r="965" spans="1:3" ht="14.25" customHeight="1">
      <c r="A965" s="173"/>
      <c r="B965" s="173"/>
      <c r="C965" s="173"/>
    </row>
    <row r="966" spans="1:3" ht="14.25" customHeight="1">
      <c r="A966" s="173"/>
      <c r="B966" s="173"/>
      <c r="C966" s="173"/>
    </row>
    <row r="967" spans="1:3" ht="14.25" customHeight="1">
      <c r="A967" s="173"/>
      <c r="B967" s="173"/>
      <c r="C967" s="173"/>
    </row>
    <row r="968" spans="1:3" ht="14.25" customHeight="1">
      <c r="A968" s="173"/>
      <c r="B968" s="173"/>
      <c r="C968" s="173"/>
    </row>
    <row r="969" spans="1:3" ht="14.25" customHeight="1">
      <c r="A969" s="173"/>
      <c r="B969" s="173"/>
      <c r="C969" s="173"/>
    </row>
    <row r="970" spans="1:3" ht="14.25" customHeight="1">
      <c r="A970" s="173"/>
      <c r="B970" s="173"/>
      <c r="C970" s="173"/>
    </row>
    <row r="971" spans="1:3" ht="14.25" customHeight="1">
      <c r="A971" s="173"/>
      <c r="B971" s="173"/>
      <c r="C971" s="173"/>
    </row>
    <row r="972" spans="1:3" ht="14.25" customHeight="1">
      <c r="A972" s="173"/>
      <c r="B972" s="173"/>
      <c r="C972" s="173"/>
    </row>
    <row r="973" spans="1:3" ht="14.25" customHeight="1">
      <c r="A973" s="173"/>
      <c r="B973" s="173"/>
      <c r="C973" s="173"/>
    </row>
    <row r="974" spans="1:3" ht="14.25" customHeight="1">
      <c r="A974" s="173"/>
      <c r="B974" s="173"/>
      <c r="C974" s="173"/>
    </row>
    <row r="975" spans="1:3" ht="14.25" customHeight="1">
      <c r="A975" s="173"/>
      <c r="B975" s="173"/>
      <c r="C975" s="173"/>
    </row>
    <row r="976" spans="1:3" ht="14.25" customHeight="1">
      <c r="A976" s="173"/>
      <c r="B976" s="173"/>
      <c r="C976" s="173"/>
    </row>
    <row r="977" spans="1:3" ht="14.25" customHeight="1">
      <c r="A977" s="173"/>
      <c r="B977" s="173"/>
      <c r="C977" s="173"/>
    </row>
    <row r="978" spans="1:3" ht="14.25" customHeight="1">
      <c r="A978" s="173"/>
      <c r="B978" s="173"/>
      <c r="C978" s="173"/>
    </row>
    <row r="979" spans="1:3" ht="14.25" customHeight="1">
      <c r="A979" s="173"/>
      <c r="B979" s="173"/>
      <c r="C979" s="173"/>
    </row>
    <row r="980" spans="1:3" ht="14.25" customHeight="1">
      <c r="A980" s="173"/>
      <c r="B980" s="173"/>
      <c r="C980" s="173"/>
    </row>
    <row r="981" spans="1:3" ht="14.25" customHeight="1">
      <c r="A981" s="173"/>
      <c r="B981" s="173"/>
      <c r="C981" s="173"/>
    </row>
    <row r="982" spans="1:3" ht="14.25" customHeight="1">
      <c r="A982" s="173"/>
      <c r="B982" s="173"/>
      <c r="C982" s="173"/>
    </row>
    <row r="983" spans="1:3" ht="14.25" customHeight="1">
      <c r="A983" s="173"/>
      <c r="B983" s="173"/>
      <c r="C983" s="173"/>
    </row>
    <row r="984" spans="1:3" ht="14.25" customHeight="1">
      <c r="A984" s="173"/>
      <c r="B984" s="173"/>
      <c r="C984" s="173"/>
    </row>
    <row r="985" spans="1:3" ht="14.25" customHeight="1">
      <c r="A985" s="173"/>
      <c r="B985" s="173"/>
      <c r="C985" s="173"/>
    </row>
    <row r="986" spans="1:3" ht="14.25" customHeight="1">
      <c r="A986" s="173"/>
      <c r="B986" s="173"/>
      <c r="C986" s="173"/>
    </row>
    <row r="987" spans="1:3" ht="14.25" customHeight="1">
      <c r="A987" s="173"/>
      <c r="B987" s="173"/>
      <c r="C987" s="173"/>
    </row>
    <row r="988" spans="1:3" ht="14.25" customHeight="1">
      <c r="A988" s="173"/>
      <c r="B988" s="173"/>
      <c r="C988" s="173"/>
    </row>
    <row r="989" spans="1:3" ht="14.25" customHeight="1">
      <c r="A989" s="173"/>
      <c r="B989" s="173"/>
      <c r="C989" s="173"/>
    </row>
    <row r="990" spans="1:3" ht="14.25" customHeight="1">
      <c r="A990" s="173"/>
      <c r="B990" s="173"/>
      <c r="C990" s="173"/>
    </row>
    <row r="991" spans="1:3" ht="14.25" customHeight="1">
      <c r="A991" s="173"/>
      <c r="B991" s="173"/>
      <c r="C991" s="173"/>
    </row>
    <row r="992" spans="1:3" ht="14.25" customHeight="1">
      <c r="A992" s="173"/>
      <c r="B992" s="173"/>
      <c r="C992" s="173"/>
    </row>
    <row r="993" spans="1:3" ht="14.25" customHeight="1">
      <c r="A993" s="173"/>
      <c r="B993" s="173"/>
      <c r="C993" s="173"/>
    </row>
    <row r="994" spans="1:3" ht="14.25" customHeight="1">
      <c r="A994" s="173"/>
      <c r="B994" s="173"/>
      <c r="C994" s="173"/>
    </row>
    <row r="995" spans="1:3" ht="14.25" customHeight="1">
      <c r="A995" s="173"/>
      <c r="B995" s="173"/>
      <c r="C995" s="173"/>
    </row>
    <row r="996" spans="1:3" ht="14.25" customHeight="1">
      <c r="A996" s="173"/>
      <c r="B996" s="173"/>
      <c r="C996" s="173"/>
    </row>
    <row r="997" spans="1:3" ht="14.25" customHeight="1">
      <c r="A997" s="173"/>
      <c r="B997" s="173"/>
      <c r="C997" s="173"/>
    </row>
    <row r="998" spans="1:3" ht="14.25" customHeight="1">
      <c r="A998" s="173"/>
      <c r="B998" s="173"/>
      <c r="C998" s="173"/>
    </row>
    <row r="999" spans="1:3" ht="14.25" customHeight="1">
      <c r="A999" s="173"/>
      <c r="B999" s="173"/>
      <c r="C999" s="173"/>
    </row>
    <row r="1000" spans="1:3" ht="14.25" customHeight="1">
      <c r="A1000" s="173"/>
      <c r="B1000" s="173"/>
      <c r="C1000" s="17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workbookViewId="0">
      <selection activeCell="E12" sqref="E12"/>
    </sheetView>
  </sheetViews>
  <sheetFormatPr defaultColWidth="12.5703125" defaultRowHeight="15" customHeight="1"/>
  <cols>
    <col min="1" max="1" width="6.28515625" style="178" bestFit="1" customWidth="1"/>
    <col min="2" max="2" width="19.85546875" bestFit="1" customWidth="1"/>
    <col min="3" max="3" width="14.7109375" bestFit="1" customWidth="1"/>
    <col min="4" max="4" width="6.85546875" bestFit="1" customWidth="1"/>
    <col min="5" max="5" width="14.7109375" bestFit="1" customWidth="1"/>
    <col min="6" max="6" width="6.85546875" bestFit="1" customWidth="1"/>
    <col min="7" max="7" width="14.7109375" bestFit="1" customWidth="1"/>
    <col min="8" max="8" width="9.140625" bestFit="1" customWidth="1"/>
    <col min="9" max="9" width="14.7109375" bestFit="1" customWidth="1"/>
    <col min="10" max="10" width="9.140625" bestFit="1" customWidth="1"/>
    <col min="11" max="11" width="14.7109375" bestFit="1" customWidth="1"/>
    <col min="12" max="12" width="6.85546875" bestFit="1" customWidth="1"/>
    <col min="13" max="26" width="8.5703125" customWidth="1"/>
  </cols>
  <sheetData>
    <row r="1" spans="1:12" ht="14.25" customHeight="1">
      <c r="A1" s="179" t="s">
        <v>383</v>
      </c>
      <c r="B1" s="179" t="s">
        <v>384</v>
      </c>
      <c r="C1" s="179" t="s">
        <v>163</v>
      </c>
      <c r="D1" s="179" t="s">
        <v>204</v>
      </c>
      <c r="E1" s="179" t="s">
        <v>163</v>
      </c>
      <c r="F1" s="179" t="s">
        <v>204</v>
      </c>
      <c r="G1" s="179" t="s">
        <v>163</v>
      </c>
      <c r="H1" s="179" t="s">
        <v>204</v>
      </c>
      <c r="I1" s="179" t="s">
        <v>163</v>
      </c>
      <c r="J1" s="179" t="s">
        <v>204</v>
      </c>
      <c r="K1" s="179" t="s">
        <v>163</v>
      </c>
      <c r="L1" s="179" t="s">
        <v>204</v>
      </c>
    </row>
    <row r="2" spans="1:12" ht="14.25" customHeight="1">
      <c r="A2" s="177">
        <v>1</v>
      </c>
      <c r="B2" s="174" t="s">
        <v>385</v>
      </c>
      <c r="C2" s="174" t="s">
        <v>386</v>
      </c>
      <c r="D2" s="175">
        <v>2.75E-2</v>
      </c>
      <c r="E2" s="174" t="s">
        <v>387</v>
      </c>
      <c r="F2" s="175">
        <v>2.2499999999999999E-2</v>
      </c>
    </row>
    <row r="3" spans="1:12" ht="14.25" customHeight="1">
      <c r="A3" s="177">
        <v>2</v>
      </c>
      <c r="B3" s="174" t="s">
        <v>388</v>
      </c>
      <c r="C3" s="174" t="s">
        <v>389</v>
      </c>
      <c r="D3" s="175">
        <v>3.8899999999999997E-2</v>
      </c>
      <c r="E3" s="174" t="s">
        <v>390</v>
      </c>
      <c r="F3" s="175">
        <v>2.69E-2</v>
      </c>
      <c r="G3" s="174" t="s">
        <v>391</v>
      </c>
      <c r="H3" s="175">
        <v>2.3900000000000001E-2</v>
      </c>
      <c r="I3" s="174" t="s">
        <v>392</v>
      </c>
      <c r="J3" s="175">
        <v>2.1899999999999999E-2</v>
      </c>
    </row>
    <row r="4" spans="1:12" ht="14.25" customHeight="1">
      <c r="A4" s="177">
        <v>3</v>
      </c>
      <c r="B4" s="174" t="s">
        <v>402</v>
      </c>
      <c r="C4" s="174" t="s">
        <v>164</v>
      </c>
      <c r="D4" s="175">
        <v>4.7500000000000001E-2</v>
      </c>
      <c r="E4" s="174" t="s">
        <v>393</v>
      </c>
      <c r="F4" s="175">
        <v>3.15E-2</v>
      </c>
      <c r="G4" s="174" t="s">
        <v>394</v>
      </c>
      <c r="H4" s="175">
        <v>2.5000000000000001E-2</v>
      </c>
      <c r="I4" s="174" t="s">
        <v>395</v>
      </c>
      <c r="J4" s="175">
        <v>2.2499999999999999E-2</v>
      </c>
      <c r="K4" s="174" t="s">
        <v>396</v>
      </c>
      <c r="L4" s="175">
        <v>2.1499999999999998E-2</v>
      </c>
    </row>
    <row r="5" spans="1:12" ht="14.25" customHeight="1">
      <c r="A5" s="177">
        <v>4</v>
      </c>
      <c r="B5" s="174" t="s">
        <v>401</v>
      </c>
      <c r="C5" s="174" t="s">
        <v>164</v>
      </c>
      <c r="D5" s="175">
        <v>3.2500000000000001E-2</v>
      </c>
      <c r="E5" s="174" t="s">
        <v>393</v>
      </c>
      <c r="F5" s="175">
        <v>0.03</v>
      </c>
      <c r="G5" s="174" t="s">
        <v>394</v>
      </c>
      <c r="H5" s="175">
        <v>2.2499999999999999E-2</v>
      </c>
      <c r="I5" s="174" t="s">
        <v>395</v>
      </c>
      <c r="J5" s="175">
        <v>2.1499999999999998E-2</v>
      </c>
      <c r="K5" s="174" t="s">
        <v>396</v>
      </c>
      <c r="L5" s="175">
        <v>1.9900000000000001E-2</v>
      </c>
    </row>
    <row r="6" spans="1:12" ht="14.25" customHeight="1">
      <c r="A6" s="178">
        <v>5</v>
      </c>
      <c r="B6" s="174" t="s">
        <v>406</v>
      </c>
      <c r="C6" s="174" t="s">
        <v>164</v>
      </c>
      <c r="D6" s="180">
        <v>2.4899999999999999E-2</v>
      </c>
      <c r="E6" s="174" t="s">
        <v>403</v>
      </c>
      <c r="F6" s="180">
        <v>2.1899999999999999E-2</v>
      </c>
      <c r="G6" s="174" t="s">
        <v>404</v>
      </c>
      <c r="H6" s="175">
        <v>2.0899999999999998E-2</v>
      </c>
      <c r="I6" s="174" t="s">
        <v>405</v>
      </c>
      <c r="J6" s="175">
        <v>1.89E-2</v>
      </c>
      <c r="K6" t="s">
        <v>392</v>
      </c>
      <c r="L6" s="180">
        <v>1.7899999999999999E-2</v>
      </c>
    </row>
    <row r="7" spans="1:12" ht="14.25" customHeight="1">
      <c r="A7" s="178">
        <v>6</v>
      </c>
      <c r="B7" s="174" t="s">
        <v>407</v>
      </c>
      <c r="C7" s="174" t="s">
        <v>164</v>
      </c>
      <c r="D7" s="180">
        <v>2.5899999999999999E-2</v>
      </c>
      <c r="E7" s="174" t="s">
        <v>403</v>
      </c>
      <c r="F7" s="180">
        <v>2.29E-2</v>
      </c>
      <c r="G7" s="174" t="s">
        <v>404</v>
      </c>
      <c r="H7" s="175">
        <v>2.1899999999999999E-2</v>
      </c>
      <c r="I7" s="174" t="s">
        <v>405</v>
      </c>
      <c r="J7" s="175">
        <v>1.9900000000000001E-2</v>
      </c>
      <c r="K7" t="s">
        <v>392</v>
      </c>
      <c r="L7" s="180">
        <v>1.89E-2</v>
      </c>
    </row>
    <row r="8" spans="1:12" ht="14.25" customHeight="1">
      <c r="A8" s="178">
        <v>7</v>
      </c>
      <c r="B8" s="174" t="s">
        <v>408</v>
      </c>
      <c r="C8" s="174" t="s">
        <v>164</v>
      </c>
      <c r="D8" s="180">
        <v>2.7900000000000001E-2</v>
      </c>
      <c r="E8" s="174" t="s">
        <v>403</v>
      </c>
      <c r="F8" s="180">
        <v>2.4899999999999999E-2</v>
      </c>
      <c r="G8" s="174" t="s">
        <v>404</v>
      </c>
      <c r="H8" s="175">
        <v>2.29E-2</v>
      </c>
      <c r="I8" s="174" t="s">
        <v>405</v>
      </c>
      <c r="J8" s="175">
        <v>2.0899999999999998E-2</v>
      </c>
      <c r="K8" t="s">
        <v>392</v>
      </c>
      <c r="L8" s="180">
        <v>1.9900000000000001E-2</v>
      </c>
    </row>
    <row r="9" spans="1:12" ht="14.25" customHeight="1">
      <c r="A9" s="178">
        <v>8</v>
      </c>
      <c r="B9" s="174" t="s">
        <v>409</v>
      </c>
      <c r="C9" s="174" t="s">
        <v>164</v>
      </c>
      <c r="D9" s="180">
        <v>2.9899999999999999E-2</v>
      </c>
      <c r="E9" s="174" t="s">
        <v>403</v>
      </c>
      <c r="F9" s="180">
        <v>2.69E-2</v>
      </c>
      <c r="G9" s="174" t="s">
        <v>404</v>
      </c>
      <c r="H9" s="175">
        <v>2.4899999999999999E-2</v>
      </c>
      <c r="I9" s="174" t="s">
        <v>405</v>
      </c>
      <c r="J9" s="175">
        <v>2.29E-2</v>
      </c>
      <c r="K9" t="s">
        <v>392</v>
      </c>
      <c r="L9" s="180">
        <v>2.1899999999999999E-2</v>
      </c>
    </row>
    <row r="10" spans="1:12" ht="14.25" customHeight="1"/>
    <row r="11" spans="1:12" ht="14.25" customHeight="1"/>
    <row r="12" spans="1:12" ht="14.25" customHeight="1"/>
    <row r="13" spans="1:12" ht="14.25" customHeight="1"/>
    <row r="14" spans="1:12" ht="14.25" customHeight="1"/>
    <row r="15" spans="1:12" ht="14.25" customHeight="1"/>
    <row r="16" spans="1:1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tabSelected="1" workbookViewId="0"/>
  </sheetViews>
  <sheetFormatPr defaultColWidth="12.5703125" defaultRowHeight="15" customHeight="1"/>
  <cols>
    <col min="1" max="1" width="17.28515625" customWidth="1"/>
    <col min="2" max="2" width="14.28515625" customWidth="1"/>
    <col min="3" max="3" width="11.42578125" customWidth="1"/>
    <col min="4" max="6" width="10.42578125" customWidth="1"/>
    <col min="7" max="7" width="11.42578125" customWidth="1"/>
    <col min="8" max="26" width="8.5703125" customWidth="1"/>
  </cols>
  <sheetData>
    <row r="1" spans="1:7" ht="14.25" customHeight="1">
      <c r="A1" s="171" t="s">
        <v>231</v>
      </c>
      <c r="B1" s="171" t="s">
        <v>232</v>
      </c>
      <c r="C1" s="171" t="s">
        <v>233</v>
      </c>
      <c r="D1" s="176" t="s">
        <v>397</v>
      </c>
      <c r="E1" s="176" t="s">
        <v>398</v>
      </c>
      <c r="F1" s="176" t="s">
        <v>399</v>
      </c>
      <c r="G1" s="176" t="s">
        <v>400</v>
      </c>
    </row>
    <row r="2" spans="1:7" ht="14.25" customHeight="1">
      <c r="A2" s="173" t="s">
        <v>234</v>
      </c>
      <c r="B2" s="173" t="s">
        <v>235</v>
      </c>
      <c r="C2" s="173" t="s">
        <v>112</v>
      </c>
      <c r="D2" s="174">
        <v>4300</v>
      </c>
      <c r="E2" s="174">
        <v>5200</v>
      </c>
      <c r="F2" s="174">
        <v>5900</v>
      </c>
      <c r="G2" s="174">
        <v>9300</v>
      </c>
    </row>
    <row r="3" spans="1:7" ht="14.25" customHeight="1">
      <c r="A3" s="173" t="s">
        <v>234</v>
      </c>
      <c r="B3" s="173" t="s">
        <v>236</v>
      </c>
      <c r="C3" s="173" t="s">
        <v>237</v>
      </c>
      <c r="D3" s="174">
        <v>4300</v>
      </c>
      <c r="E3" s="174">
        <v>5200</v>
      </c>
      <c r="F3" s="174">
        <v>5900</v>
      </c>
      <c r="G3" s="174">
        <v>9300</v>
      </c>
    </row>
    <row r="4" spans="1:7" ht="14.25" customHeight="1">
      <c r="A4" s="173" t="s">
        <v>234</v>
      </c>
      <c r="B4" s="173" t="s">
        <v>238</v>
      </c>
      <c r="C4" s="173" t="s">
        <v>239</v>
      </c>
      <c r="D4" s="174">
        <v>4300</v>
      </c>
      <c r="E4" s="174">
        <v>5200</v>
      </c>
      <c r="F4" s="174">
        <v>5900</v>
      </c>
      <c r="G4" s="174">
        <v>9300</v>
      </c>
    </row>
    <row r="5" spans="1:7" ht="14.25" customHeight="1">
      <c r="A5" s="173" t="s">
        <v>234</v>
      </c>
      <c r="B5" s="173" t="s">
        <v>240</v>
      </c>
      <c r="C5" s="173" t="s">
        <v>241</v>
      </c>
      <c r="D5" s="174">
        <v>4300</v>
      </c>
      <c r="E5" s="174">
        <v>5200</v>
      </c>
      <c r="F5" s="174">
        <v>5900</v>
      </c>
      <c r="G5" s="174">
        <v>9300</v>
      </c>
    </row>
    <row r="6" spans="1:7" ht="14.25" customHeight="1">
      <c r="A6" s="173" t="s">
        <v>234</v>
      </c>
      <c r="B6" s="173" t="s">
        <v>242</v>
      </c>
      <c r="C6" s="173" t="s">
        <v>243</v>
      </c>
      <c r="D6" s="174">
        <v>4300</v>
      </c>
      <c r="E6" s="174">
        <v>5200</v>
      </c>
      <c r="F6" s="174">
        <v>5900</v>
      </c>
      <c r="G6" s="174">
        <v>9300</v>
      </c>
    </row>
    <row r="7" spans="1:7" ht="14.25" customHeight="1">
      <c r="A7" s="173" t="s">
        <v>234</v>
      </c>
      <c r="B7" s="173" t="s">
        <v>244</v>
      </c>
      <c r="C7" s="173" t="s">
        <v>245</v>
      </c>
      <c r="D7" s="174">
        <v>4300</v>
      </c>
      <c r="E7" s="174">
        <v>5200</v>
      </c>
      <c r="F7" s="174">
        <v>5900</v>
      </c>
      <c r="G7" s="174">
        <v>9300</v>
      </c>
    </row>
    <row r="8" spans="1:7" ht="14.25" customHeight="1">
      <c r="A8" s="173" t="s">
        <v>246</v>
      </c>
      <c r="B8" s="173" t="s">
        <v>247</v>
      </c>
      <c r="C8" s="173" t="s">
        <v>248</v>
      </c>
      <c r="D8" s="174">
        <v>5000</v>
      </c>
      <c r="E8" s="174">
        <v>6000</v>
      </c>
      <c r="F8" s="174">
        <v>6700</v>
      </c>
      <c r="G8" s="174">
        <v>11000</v>
      </c>
    </row>
    <row r="9" spans="1:7" ht="14.25" customHeight="1">
      <c r="A9" s="173" t="s">
        <v>246</v>
      </c>
      <c r="B9" s="173" t="s">
        <v>249</v>
      </c>
      <c r="C9" s="173" t="s">
        <v>250</v>
      </c>
      <c r="D9" s="174">
        <v>5000</v>
      </c>
      <c r="E9" s="174">
        <v>6000</v>
      </c>
      <c r="F9" s="174">
        <v>6700</v>
      </c>
      <c r="G9" s="174">
        <v>11000</v>
      </c>
    </row>
    <row r="10" spans="1:7" ht="14.25" customHeight="1">
      <c r="A10" s="173" t="s">
        <v>246</v>
      </c>
      <c r="B10" s="173" t="s">
        <v>251</v>
      </c>
      <c r="C10" s="173" t="s">
        <v>252</v>
      </c>
      <c r="D10" s="174">
        <v>5000</v>
      </c>
      <c r="E10" s="174">
        <v>6000</v>
      </c>
      <c r="F10" s="174">
        <v>6700</v>
      </c>
      <c r="G10" s="174">
        <v>11000</v>
      </c>
    </row>
    <row r="11" spans="1:7" ht="14.25" customHeight="1">
      <c r="A11" s="173" t="s">
        <v>246</v>
      </c>
      <c r="B11" s="173" t="s">
        <v>253</v>
      </c>
      <c r="C11" s="173" t="s">
        <v>254</v>
      </c>
      <c r="D11" s="174">
        <v>5000</v>
      </c>
      <c r="E11" s="174">
        <v>6000</v>
      </c>
      <c r="F11" s="174">
        <v>6700</v>
      </c>
      <c r="G11" s="174">
        <v>11000</v>
      </c>
    </row>
    <row r="12" spans="1:7" ht="14.25" customHeight="1">
      <c r="A12" s="173" t="s">
        <v>246</v>
      </c>
      <c r="B12" s="173" t="s">
        <v>255</v>
      </c>
      <c r="C12" s="173" t="s">
        <v>256</v>
      </c>
      <c r="D12" s="174">
        <v>5000</v>
      </c>
      <c r="E12" s="174">
        <v>6000</v>
      </c>
      <c r="F12" s="174">
        <v>6700</v>
      </c>
      <c r="G12" s="174">
        <v>11000</v>
      </c>
    </row>
    <row r="13" spans="1:7" ht="14.25" customHeight="1">
      <c r="A13" s="173" t="s">
        <v>246</v>
      </c>
      <c r="B13" s="173" t="s">
        <v>257</v>
      </c>
      <c r="C13" s="173" t="s">
        <v>258</v>
      </c>
      <c r="D13" s="174">
        <v>5000</v>
      </c>
      <c r="E13" s="174">
        <v>6000</v>
      </c>
      <c r="F13" s="174">
        <v>6700</v>
      </c>
      <c r="G13" s="174">
        <v>11000</v>
      </c>
    </row>
    <row r="14" spans="1:7" ht="14.25" customHeight="1">
      <c r="A14" s="173" t="s">
        <v>246</v>
      </c>
      <c r="B14" s="173" t="s">
        <v>259</v>
      </c>
      <c r="C14" s="173" t="s">
        <v>260</v>
      </c>
      <c r="D14" s="174">
        <v>5000</v>
      </c>
      <c r="E14" s="174">
        <v>6000</v>
      </c>
      <c r="F14" s="174">
        <v>6700</v>
      </c>
      <c r="G14" s="174">
        <v>11000</v>
      </c>
    </row>
    <row r="15" spans="1:7" ht="14.25" customHeight="1">
      <c r="A15" s="173" t="s">
        <v>261</v>
      </c>
      <c r="B15" s="173" t="s">
        <v>262</v>
      </c>
      <c r="C15" s="173" t="s">
        <v>263</v>
      </c>
      <c r="D15" s="174">
        <v>4500</v>
      </c>
      <c r="E15" s="174">
        <v>5400</v>
      </c>
      <c r="F15" s="174">
        <v>6100</v>
      </c>
      <c r="G15" s="174">
        <v>9700</v>
      </c>
    </row>
    <row r="16" spans="1:7" ht="14.25" customHeight="1">
      <c r="A16" s="173" t="s">
        <v>261</v>
      </c>
      <c r="B16" s="173" t="s">
        <v>264</v>
      </c>
      <c r="C16" s="173" t="s">
        <v>265</v>
      </c>
      <c r="D16" s="174">
        <v>4500</v>
      </c>
      <c r="E16" s="174">
        <v>5400</v>
      </c>
      <c r="F16" s="174">
        <v>6100</v>
      </c>
      <c r="G16" s="174">
        <v>9700</v>
      </c>
    </row>
    <row r="17" spans="1:7" ht="14.25" customHeight="1">
      <c r="A17" s="173" t="s">
        <v>261</v>
      </c>
      <c r="B17" s="173" t="s">
        <v>266</v>
      </c>
      <c r="C17" s="173" t="s">
        <v>267</v>
      </c>
      <c r="D17" s="174">
        <v>4500</v>
      </c>
      <c r="E17" s="174">
        <v>5400</v>
      </c>
      <c r="F17" s="174">
        <v>6100</v>
      </c>
      <c r="G17" s="174">
        <v>9700</v>
      </c>
    </row>
    <row r="18" spans="1:7" ht="14.25" customHeight="1">
      <c r="A18" s="173" t="s">
        <v>261</v>
      </c>
      <c r="B18" s="173" t="s">
        <v>268</v>
      </c>
      <c r="C18" s="173" t="s">
        <v>269</v>
      </c>
      <c r="D18" s="174">
        <v>4500</v>
      </c>
      <c r="E18" s="174">
        <v>5400</v>
      </c>
      <c r="F18" s="174">
        <v>6100</v>
      </c>
      <c r="G18" s="174">
        <v>9700</v>
      </c>
    </row>
    <row r="19" spans="1:7" ht="14.25" customHeight="1">
      <c r="A19" s="173" t="s">
        <v>261</v>
      </c>
      <c r="B19" s="173" t="s">
        <v>270</v>
      </c>
      <c r="C19" s="173" t="s">
        <v>271</v>
      </c>
      <c r="D19" s="174">
        <v>4500</v>
      </c>
      <c r="E19" s="174">
        <v>5400</v>
      </c>
      <c r="F19" s="174">
        <v>6100</v>
      </c>
      <c r="G19" s="174">
        <v>9700</v>
      </c>
    </row>
    <row r="20" spans="1:7" ht="14.25" customHeight="1">
      <c r="A20" s="173" t="s">
        <v>272</v>
      </c>
      <c r="B20" s="173" t="s">
        <v>273</v>
      </c>
      <c r="C20" s="173" t="s">
        <v>274</v>
      </c>
      <c r="D20" s="174">
        <v>4900</v>
      </c>
      <c r="E20" s="174">
        <v>5700</v>
      </c>
      <c r="F20" s="174">
        <v>6400</v>
      </c>
      <c r="G20" s="174">
        <v>10400</v>
      </c>
    </row>
    <row r="21" spans="1:7" ht="14.25" customHeight="1">
      <c r="A21" s="173" t="s">
        <v>272</v>
      </c>
      <c r="B21" s="173" t="s">
        <v>275</v>
      </c>
      <c r="C21" s="173" t="s">
        <v>276</v>
      </c>
      <c r="D21" s="174">
        <v>4900</v>
      </c>
      <c r="E21" s="174">
        <v>5700</v>
      </c>
      <c r="F21" s="174">
        <v>6400</v>
      </c>
      <c r="G21" s="174">
        <v>10400</v>
      </c>
    </row>
    <row r="22" spans="1:7" ht="14.25" customHeight="1">
      <c r="A22" s="173" t="s">
        <v>272</v>
      </c>
      <c r="B22" s="173" t="s">
        <v>277</v>
      </c>
      <c r="C22" s="173" t="s">
        <v>278</v>
      </c>
      <c r="D22" s="174">
        <v>4900</v>
      </c>
      <c r="E22" s="174">
        <v>5700</v>
      </c>
      <c r="F22" s="174">
        <v>6400</v>
      </c>
      <c r="G22" s="174">
        <v>10400</v>
      </c>
    </row>
    <row r="23" spans="1:7" ht="14.25" customHeight="1">
      <c r="A23" s="173" t="s">
        <v>272</v>
      </c>
      <c r="B23" s="173" t="s">
        <v>279</v>
      </c>
      <c r="C23" s="173" t="s">
        <v>280</v>
      </c>
      <c r="D23" s="174">
        <v>4900</v>
      </c>
      <c r="E23" s="174">
        <v>5700</v>
      </c>
      <c r="F23" s="174">
        <v>6400</v>
      </c>
      <c r="G23" s="174">
        <v>10400</v>
      </c>
    </row>
    <row r="24" spans="1:7" ht="14.25" customHeight="1">
      <c r="A24" s="173" t="s">
        <v>281</v>
      </c>
      <c r="B24" s="173" t="s">
        <v>282</v>
      </c>
      <c r="C24" s="173" t="s">
        <v>283</v>
      </c>
      <c r="D24" s="174">
        <v>4900</v>
      </c>
      <c r="E24" s="174">
        <v>5900</v>
      </c>
      <c r="F24" s="174">
        <v>6600</v>
      </c>
      <c r="G24" s="174">
        <v>10700</v>
      </c>
    </row>
    <row r="25" spans="1:7" ht="14.25" customHeight="1">
      <c r="A25" s="173" t="s">
        <v>281</v>
      </c>
      <c r="B25" s="173" t="s">
        <v>284</v>
      </c>
      <c r="C25" s="173" t="s">
        <v>285</v>
      </c>
      <c r="D25" s="174">
        <v>4900</v>
      </c>
      <c r="E25" s="174">
        <v>5900</v>
      </c>
      <c r="F25" s="174">
        <v>6600</v>
      </c>
      <c r="G25" s="174">
        <v>10700</v>
      </c>
    </row>
    <row r="26" spans="1:7" ht="14.25" customHeight="1">
      <c r="A26" s="173" t="s">
        <v>281</v>
      </c>
      <c r="B26" s="173" t="s">
        <v>286</v>
      </c>
      <c r="C26" s="173" t="s">
        <v>287</v>
      </c>
      <c r="D26" s="174">
        <v>4900</v>
      </c>
      <c r="E26" s="174">
        <v>5900</v>
      </c>
      <c r="F26" s="174">
        <v>6600</v>
      </c>
      <c r="G26" s="174">
        <v>10700</v>
      </c>
    </row>
    <row r="27" spans="1:7" ht="14.25" customHeight="1">
      <c r="A27" s="173" t="s">
        <v>281</v>
      </c>
      <c r="B27" s="173" t="s">
        <v>288</v>
      </c>
      <c r="C27" s="173" t="s">
        <v>289</v>
      </c>
      <c r="D27" s="174">
        <v>4900</v>
      </c>
      <c r="E27" s="174">
        <v>5900</v>
      </c>
      <c r="F27" s="174">
        <v>6600</v>
      </c>
      <c r="G27" s="174">
        <v>10700</v>
      </c>
    </row>
    <row r="28" spans="1:7" ht="14.25" customHeight="1">
      <c r="A28" s="173" t="s">
        <v>281</v>
      </c>
      <c r="B28" s="173" t="s">
        <v>290</v>
      </c>
      <c r="C28" s="173" t="s">
        <v>291</v>
      </c>
      <c r="D28" s="174">
        <v>4900</v>
      </c>
      <c r="E28" s="174">
        <v>5900</v>
      </c>
      <c r="F28" s="174">
        <v>6600</v>
      </c>
      <c r="G28" s="174">
        <v>10700</v>
      </c>
    </row>
    <row r="29" spans="1:7" ht="14.25" customHeight="1">
      <c r="A29" s="173" t="s">
        <v>281</v>
      </c>
      <c r="B29" s="173" t="s">
        <v>292</v>
      </c>
      <c r="C29" s="173" t="s">
        <v>293</v>
      </c>
      <c r="D29" s="174">
        <v>4900</v>
      </c>
      <c r="E29" s="174">
        <v>5900</v>
      </c>
      <c r="F29" s="174">
        <v>6600</v>
      </c>
      <c r="G29" s="174">
        <v>10700</v>
      </c>
    </row>
    <row r="30" spans="1:7" ht="14.25" customHeight="1">
      <c r="A30" s="173" t="s">
        <v>294</v>
      </c>
      <c r="B30" s="173" t="s">
        <v>295</v>
      </c>
      <c r="C30" s="173" t="s">
        <v>296</v>
      </c>
      <c r="D30" s="174">
        <v>3700</v>
      </c>
      <c r="E30" s="174">
        <v>4500</v>
      </c>
      <c r="F30" s="174">
        <v>5400</v>
      </c>
      <c r="G30" s="174">
        <v>8500</v>
      </c>
    </row>
    <row r="31" spans="1:7" ht="14.25" customHeight="1">
      <c r="A31" s="173" t="s">
        <v>294</v>
      </c>
      <c r="B31" s="173" t="s">
        <v>297</v>
      </c>
      <c r="C31" s="173" t="s">
        <v>298</v>
      </c>
      <c r="D31" s="174">
        <v>3700</v>
      </c>
      <c r="E31" s="174">
        <v>4500</v>
      </c>
      <c r="F31" s="174">
        <v>5400</v>
      </c>
      <c r="G31" s="174">
        <v>8500</v>
      </c>
    </row>
    <row r="32" spans="1:7" ht="14.25" customHeight="1">
      <c r="A32" s="173" t="s">
        <v>299</v>
      </c>
      <c r="B32" s="173" t="s">
        <v>300</v>
      </c>
      <c r="C32" s="173" t="s">
        <v>301</v>
      </c>
      <c r="D32" s="174">
        <v>3700</v>
      </c>
      <c r="E32" s="174">
        <v>4500</v>
      </c>
      <c r="F32" s="174">
        <v>5400</v>
      </c>
      <c r="G32" s="174">
        <v>8500</v>
      </c>
    </row>
    <row r="33" spans="1:7" ht="14.25" customHeight="1">
      <c r="A33" s="173" t="s">
        <v>299</v>
      </c>
      <c r="B33" s="173" t="s">
        <v>302</v>
      </c>
      <c r="C33" s="173" t="s">
        <v>303</v>
      </c>
      <c r="D33" s="174">
        <v>3700</v>
      </c>
      <c r="E33" s="174">
        <v>4500</v>
      </c>
      <c r="F33" s="174">
        <v>5400</v>
      </c>
      <c r="G33" s="174">
        <v>8500</v>
      </c>
    </row>
    <row r="34" spans="1:7" ht="14.25" customHeight="1">
      <c r="A34" s="173" t="s">
        <v>304</v>
      </c>
      <c r="B34" s="173" t="s">
        <v>302</v>
      </c>
      <c r="C34" s="173" t="s">
        <v>303</v>
      </c>
      <c r="D34" s="174">
        <v>3700</v>
      </c>
      <c r="E34" s="174">
        <v>4500</v>
      </c>
      <c r="F34" s="174">
        <v>5400</v>
      </c>
      <c r="G34" s="174">
        <v>8500</v>
      </c>
    </row>
    <row r="35" spans="1:7" ht="14.25" customHeight="1">
      <c r="A35" s="173" t="s">
        <v>304</v>
      </c>
      <c r="B35" s="173" t="s">
        <v>300</v>
      </c>
      <c r="C35" s="173" t="s">
        <v>301</v>
      </c>
      <c r="D35" s="174">
        <v>3700</v>
      </c>
      <c r="E35" s="174">
        <v>4500</v>
      </c>
      <c r="F35" s="174">
        <v>5400</v>
      </c>
      <c r="G35" s="174">
        <v>8500</v>
      </c>
    </row>
    <row r="36" spans="1:7" ht="14.25" customHeight="1">
      <c r="A36" s="173" t="s">
        <v>305</v>
      </c>
      <c r="B36" s="173" t="s">
        <v>306</v>
      </c>
      <c r="C36" s="173" t="s">
        <v>307</v>
      </c>
      <c r="D36" s="174">
        <v>3700</v>
      </c>
      <c r="E36" s="174">
        <v>4500</v>
      </c>
      <c r="F36" s="174">
        <v>5400</v>
      </c>
      <c r="G36" s="174">
        <v>8500</v>
      </c>
    </row>
    <row r="37" spans="1:7" ht="14.25" customHeight="1">
      <c r="A37" s="173" t="s">
        <v>305</v>
      </c>
      <c r="B37" s="173" t="s">
        <v>308</v>
      </c>
      <c r="C37" s="173" t="s">
        <v>309</v>
      </c>
      <c r="D37" s="174">
        <v>3700</v>
      </c>
      <c r="E37" s="174">
        <v>4500</v>
      </c>
      <c r="F37" s="174">
        <v>5400</v>
      </c>
      <c r="G37" s="174">
        <v>8500</v>
      </c>
    </row>
    <row r="38" spans="1:7" ht="14.25" customHeight="1">
      <c r="A38" s="173" t="s">
        <v>305</v>
      </c>
      <c r="B38" s="173" t="s">
        <v>310</v>
      </c>
      <c r="C38" s="173" t="s">
        <v>311</v>
      </c>
      <c r="D38" s="174">
        <v>3700</v>
      </c>
      <c r="E38" s="174">
        <v>4500</v>
      </c>
      <c r="F38" s="174">
        <v>5400</v>
      </c>
      <c r="G38" s="174">
        <v>8500</v>
      </c>
    </row>
    <row r="39" spans="1:7" ht="14.25" customHeight="1">
      <c r="A39" s="173" t="s">
        <v>312</v>
      </c>
      <c r="B39" s="173" t="s">
        <v>313</v>
      </c>
      <c r="C39" s="173" t="s">
        <v>314</v>
      </c>
      <c r="D39" s="174">
        <v>5000</v>
      </c>
      <c r="E39" s="174">
        <v>6000</v>
      </c>
      <c r="F39" s="174">
        <v>6600</v>
      </c>
      <c r="G39" s="174">
        <v>10800</v>
      </c>
    </row>
    <row r="40" spans="1:7" ht="14.25" customHeight="1">
      <c r="A40" s="173" t="s">
        <v>312</v>
      </c>
      <c r="B40" s="173" t="s">
        <v>315</v>
      </c>
      <c r="C40" s="173" t="s">
        <v>316</v>
      </c>
      <c r="D40" s="174">
        <v>5000</v>
      </c>
      <c r="E40" s="174">
        <v>6000</v>
      </c>
      <c r="F40" s="174">
        <v>6600</v>
      </c>
      <c r="G40" s="174">
        <v>10800</v>
      </c>
    </row>
    <row r="41" spans="1:7" ht="14.25" customHeight="1">
      <c r="A41" s="173" t="s">
        <v>312</v>
      </c>
      <c r="B41" s="173" t="s">
        <v>317</v>
      </c>
      <c r="C41" s="173" t="s">
        <v>318</v>
      </c>
      <c r="D41" s="174">
        <v>5000</v>
      </c>
      <c r="E41" s="174">
        <v>6000</v>
      </c>
      <c r="F41" s="174">
        <v>6600</v>
      </c>
      <c r="G41" s="174">
        <v>10800</v>
      </c>
    </row>
    <row r="42" spans="1:7" ht="14.25" customHeight="1">
      <c r="A42" s="173" t="s">
        <v>312</v>
      </c>
      <c r="B42" s="173" t="s">
        <v>319</v>
      </c>
      <c r="C42" s="173" t="s">
        <v>320</v>
      </c>
      <c r="D42" s="174">
        <v>5000</v>
      </c>
      <c r="E42" s="174">
        <v>6000</v>
      </c>
      <c r="F42" s="174">
        <v>6600</v>
      </c>
      <c r="G42" s="174">
        <v>10800</v>
      </c>
    </row>
    <row r="43" spans="1:7" ht="14.25" customHeight="1">
      <c r="A43" s="173" t="s">
        <v>312</v>
      </c>
      <c r="B43" s="173" t="s">
        <v>321</v>
      </c>
      <c r="C43" s="173" t="s">
        <v>322</v>
      </c>
      <c r="D43" s="174">
        <v>5000</v>
      </c>
      <c r="E43" s="174">
        <v>6000</v>
      </c>
      <c r="F43" s="174">
        <v>6600</v>
      </c>
      <c r="G43" s="174">
        <v>10800</v>
      </c>
    </row>
    <row r="44" spans="1:7" ht="14.25" customHeight="1">
      <c r="A44" s="173" t="s">
        <v>312</v>
      </c>
      <c r="B44" s="173" t="s">
        <v>323</v>
      </c>
      <c r="C44" s="173" t="s">
        <v>324</v>
      </c>
      <c r="D44" s="174">
        <v>5000</v>
      </c>
      <c r="E44" s="174">
        <v>6000</v>
      </c>
      <c r="F44" s="174">
        <v>6600</v>
      </c>
      <c r="G44" s="174">
        <v>10800</v>
      </c>
    </row>
    <row r="45" spans="1:7" ht="14.25" customHeight="1">
      <c r="A45" s="173" t="s">
        <v>325</v>
      </c>
      <c r="B45" s="173" t="s">
        <v>240</v>
      </c>
      <c r="C45" s="173" t="s">
        <v>326</v>
      </c>
      <c r="D45" s="174">
        <v>4900</v>
      </c>
      <c r="E45" s="174">
        <v>5200</v>
      </c>
      <c r="F45" s="174">
        <v>5900</v>
      </c>
      <c r="G45" s="174">
        <v>9300</v>
      </c>
    </row>
    <row r="46" spans="1:7" ht="14.25" customHeight="1">
      <c r="A46" s="173" t="s">
        <v>325</v>
      </c>
      <c r="B46" s="173" t="s">
        <v>235</v>
      </c>
      <c r="C46" s="173" t="s">
        <v>198</v>
      </c>
      <c r="D46" s="174">
        <v>4900</v>
      </c>
      <c r="E46" s="174">
        <v>5200</v>
      </c>
      <c r="F46" s="174">
        <v>5900</v>
      </c>
      <c r="G46" s="174">
        <v>9300</v>
      </c>
    </row>
    <row r="47" spans="1:7" ht="14.25" customHeight="1">
      <c r="A47" s="173" t="s">
        <v>325</v>
      </c>
      <c r="B47" s="173" t="s">
        <v>236</v>
      </c>
      <c r="C47" s="173" t="s">
        <v>327</v>
      </c>
      <c r="D47" s="174">
        <v>4900</v>
      </c>
      <c r="E47" s="174">
        <v>5200</v>
      </c>
      <c r="F47" s="174">
        <v>5900</v>
      </c>
      <c r="G47" s="174">
        <v>9300</v>
      </c>
    </row>
    <row r="48" spans="1:7" ht="14.25" customHeight="1">
      <c r="A48" s="173" t="s">
        <v>325</v>
      </c>
      <c r="B48" s="173" t="s">
        <v>238</v>
      </c>
      <c r="C48" s="173" t="s">
        <v>328</v>
      </c>
      <c r="D48" s="174">
        <v>4900</v>
      </c>
      <c r="E48" s="174">
        <v>5200</v>
      </c>
      <c r="F48" s="174">
        <v>5900</v>
      </c>
      <c r="G48" s="174">
        <v>9300</v>
      </c>
    </row>
    <row r="49" spans="1:7" ht="14.25" customHeight="1">
      <c r="A49" s="173" t="s">
        <v>325</v>
      </c>
      <c r="B49" s="173" t="s">
        <v>244</v>
      </c>
      <c r="C49" s="173" t="s">
        <v>329</v>
      </c>
      <c r="D49" s="174">
        <v>4900</v>
      </c>
      <c r="E49" s="174">
        <v>5200</v>
      </c>
      <c r="F49" s="174">
        <v>5900</v>
      </c>
      <c r="G49" s="174">
        <v>9300</v>
      </c>
    </row>
    <row r="50" spans="1:7" ht="14.25" customHeight="1">
      <c r="A50" s="173" t="s">
        <v>325</v>
      </c>
      <c r="B50" s="173" t="s">
        <v>242</v>
      </c>
      <c r="C50" s="173" t="s">
        <v>330</v>
      </c>
      <c r="D50" s="174">
        <v>4900</v>
      </c>
      <c r="E50" s="174">
        <v>5200</v>
      </c>
      <c r="F50" s="174">
        <v>5900</v>
      </c>
      <c r="G50" s="174">
        <v>9300</v>
      </c>
    </row>
    <row r="51" spans="1:7" ht="14.25" customHeight="1">
      <c r="A51" s="173" t="s">
        <v>325</v>
      </c>
      <c r="B51" s="173" t="s">
        <v>331</v>
      </c>
      <c r="C51" s="173" t="s">
        <v>332</v>
      </c>
      <c r="D51" s="174">
        <v>4900</v>
      </c>
      <c r="E51" s="174">
        <v>5200</v>
      </c>
      <c r="F51" s="174">
        <v>5900</v>
      </c>
      <c r="G51" s="174">
        <v>9300</v>
      </c>
    </row>
    <row r="52" spans="1:7" ht="14.25" customHeight="1">
      <c r="A52" s="173" t="s">
        <v>333</v>
      </c>
      <c r="B52" s="173" t="s">
        <v>334</v>
      </c>
      <c r="C52" s="173" t="s">
        <v>335</v>
      </c>
      <c r="D52" s="174">
        <v>5000</v>
      </c>
      <c r="E52" s="174">
        <v>6000</v>
      </c>
      <c r="F52" s="174">
        <v>6700</v>
      </c>
      <c r="G52" s="174">
        <v>11000</v>
      </c>
    </row>
    <row r="53" spans="1:7" ht="14.25" customHeight="1">
      <c r="A53" s="173" t="s">
        <v>333</v>
      </c>
      <c r="B53" s="173" t="s">
        <v>336</v>
      </c>
      <c r="C53" s="173" t="s">
        <v>337</v>
      </c>
      <c r="D53" s="174">
        <v>5000</v>
      </c>
      <c r="E53" s="174">
        <v>6000</v>
      </c>
      <c r="F53" s="174">
        <v>6700</v>
      </c>
      <c r="G53" s="174">
        <v>11000</v>
      </c>
    </row>
    <row r="54" spans="1:7" ht="14.25" customHeight="1">
      <c r="A54" s="173" t="s">
        <v>333</v>
      </c>
      <c r="B54" s="173" t="s">
        <v>338</v>
      </c>
      <c r="C54" s="173" t="s">
        <v>339</v>
      </c>
      <c r="D54" s="174">
        <v>5000</v>
      </c>
      <c r="E54" s="174">
        <v>6000</v>
      </c>
      <c r="F54" s="174">
        <v>6700</v>
      </c>
      <c r="G54" s="174">
        <v>11000</v>
      </c>
    </row>
    <row r="55" spans="1:7" ht="14.25" customHeight="1">
      <c r="A55" s="173" t="s">
        <v>333</v>
      </c>
      <c r="B55" s="173" t="s">
        <v>340</v>
      </c>
      <c r="C55" s="173" t="s">
        <v>341</v>
      </c>
      <c r="D55" s="174">
        <v>5000</v>
      </c>
      <c r="E55" s="174">
        <v>6000</v>
      </c>
      <c r="F55" s="174">
        <v>6700</v>
      </c>
      <c r="G55" s="174">
        <v>11000</v>
      </c>
    </row>
    <row r="56" spans="1:7" ht="14.25" customHeight="1">
      <c r="A56" s="173" t="s">
        <v>333</v>
      </c>
      <c r="B56" s="173" t="s">
        <v>342</v>
      </c>
      <c r="C56" s="173" t="s">
        <v>343</v>
      </c>
      <c r="D56" s="174">
        <v>5000</v>
      </c>
      <c r="E56" s="174">
        <v>6000</v>
      </c>
      <c r="F56" s="174">
        <v>6700</v>
      </c>
      <c r="G56" s="174">
        <v>11000</v>
      </c>
    </row>
    <row r="57" spans="1:7" ht="14.25" customHeight="1">
      <c r="A57" s="173" t="s">
        <v>333</v>
      </c>
      <c r="B57" s="173" t="s">
        <v>344</v>
      </c>
      <c r="C57" s="173" t="s">
        <v>345</v>
      </c>
      <c r="D57" s="174">
        <v>5000</v>
      </c>
      <c r="E57" s="174">
        <v>6000</v>
      </c>
      <c r="F57" s="174">
        <v>6700</v>
      </c>
      <c r="G57" s="174">
        <v>11000</v>
      </c>
    </row>
    <row r="58" spans="1:7" ht="14.25" customHeight="1">
      <c r="A58" s="173" t="s">
        <v>333</v>
      </c>
      <c r="B58" s="173" t="s">
        <v>346</v>
      </c>
      <c r="C58" s="173" t="s">
        <v>347</v>
      </c>
      <c r="D58" s="174">
        <v>5000</v>
      </c>
      <c r="E58" s="174">
        <v>6000</v>
      </c>
      <c r="F58" s="174">
        <v>6700</v>
      </c>
      <c r="G58" s="174">
        <v>11000</v>
      </c>
    </row>
    <row r="59" spans="1:7" ht="14.25" customHeight="1">
      <c r="A59" s="173" t="s">
        <v>333</v>
      </c>
      <c r="B59" s="173" t="s">
        <v>348</v>
      </c>
      <c r="C59" s="173" t="s">
        <v>349</v>
      </c>
      <c r="D59" s="174">
        <v>5000</v>
      </c>
      <c r="E59" s="174">
        <v>6000</v>
      </c>
      <c r="F59" s="174">
        <v>6700</v>
      </c>
      <c r="G59" s="174">
        <v>11000</v>
      </c>
    </row>
    <row r="60" spans="1:7" ht="14.25" customHeight="1">
      <c r="A60" s="173" t="s">
        <v>333</v>
      </c>
      <c r="B60" s="173" t="s">
        <v>253</v>
      </c>
      <c r="C60" s="173" t="s">
        <v>350</v>
      </c>
      <c r="D60" s="174">
        <v>5000</v>
      </c>
      <c r="E60" s="174">
        <v>6000</v>
      </c>
      <c r="F60" s="174">
        <v>6700</v>
      </c>
      <c r="G60" s="174">
        <v>11000</v>
      </c>
    </row>
    <row r="61" spans="1:7" ht="14.25" customHeight="1">
      <c r="A61" s="173" t="s">
        <v>333</v>
      </c>
      <c r="B61" s="173" t="s">
        <v>257</v>
      </c>
      <c r="C61" s="173" t="s">
        <v>351</v>
      </c>
      <c r="D61" s="174">
        <v>5000</v>
      </c>
      <c r="E61" s="174">
        <v>6000</v>
      </c>
      <c r="F61" s="174">
        <v>6700</v>
      </c>
      <c r="G61" s="174">
        <v>11000</v>
      </c>
    </row>
    <row r="62" spans="1:7" ht="14.25" customHeight="1">
      <c r="A62" s="173" t="s">
        <v>333</v>
      </c>
      <c r="B62" s="173" t="s">
        <v>352</v>
      </c>
      <c r="C62" s="173" t="s">
        <v>353</v>
      </c>
      <c r="D62" s="174">
        <v>5000</v>
      </c>
      <c r="E62" s="174">
        <v>6000</v>
      </c>
      <c r="F62" s="174">
        <v>6700</v>
      </c>
      <c r="G62" s="174">
        <v>11000</v>
      </c>
    </row>
    <row r="63" spans="1:7" ht="14.25" customHeight="1">
      <c r="A63" s="173" t="s">
        <v>333</v>
      </c>
      <c r="B63" s="173" t="s">
        <v>354</v>
      </c>
      <c r="C63" s="173" t="s">
        <v>355</v>
      </c>
      <c r="D63" s="174">
        <v>5000</v>
      </c>
      <c r="E63" s="174">
        <v>6000</v>
      </c>
      <c r="F63" s="174">
        <v>6700</v>
      </c>
      <c r="G63" s="174">
        <v>11000</v>
      </c>
    </row>
    <row r="64" spans="1:7" ht="14.25" customHeight="1">
      <c r="A64" s="173" t="s">
        <v>333</v>
      </c>
      <c r="B64" s="173" t="s">
        <v>356</v>
      </c>
      <c r="C64" s="173" t="s">
        <v>357</v>
      </c>
      <c r="D64" s="174">
        <v>5000</v>
      </c>
      <c r="E64" s="174">
        <v>6000</v>
      </c>
      <c r="F64" s="174">
        <v>6700</v>
      </c>
      <c r="G64" s="174">
        <v>11000</v>
      </c>
    </row>
    <row r="65" spans="1:7" ht="14.25" customHeight="1">
      <c r="A65" s="173" t="s">
        <v>333</v>
      </c>
      <c r="B65" s="173" t="s">
        <v>358</v>
      </c>
      <c r="C65" s="173" t="s">
        <v>359</v>
      </c>
      <c r="D65" s="174">
        <v>5000</v>
      </c>
      <c r="E65" s="174">
        <v>6000</v>
      </c>
      <c r="F65" s="174">
        <v>6700</v>
      </c>
      <c r="G65" s="174">
        <v>11000</v>
      </c>
    </row>
    <row r="66" spans="1:7" ht="14.25" customHeight="1">
      <c r="A66" s="173" t="s">
        <v>360</v>
      </c>
      <c r="B66" s="173" t="s">
        <v>262</v>
      </c>
      <c r="C66" s="173" t="s">
        <v>263</v>
      </c>
      <c r="D66" s="174">
        <v>4500</v>
      </c>
      <c r="E66" s="174">
        <v>5400</v>
      </c>
      <c r="F66" s="174">
        <v>6100</v>
      </c>
      <c r="G66" s="174">
        <v>9700</v>
      </c>
    </row>
    <row r="67" spans="1:7" ht="14.25" customHeight="1">
      <c r="A67" s="173" t="s">
        <v>360</v>
      </c>
      <c r="B67" s="173" t="s">
        <v>264</v>
      </c>
      <c r="C67" s="173" t="s">
        <v>265</v>
      </c>
      <c r="D67" s="174">
        <v>4500</v>
      </c>
      <c r="E67" s="174">
        <v>5400</v>
      </c>
      <c r="F67" s="174">
        <v>6100</v>
      </c>
      <c r="G67" s="174">
        <v>9700</v>
      </c>
    </row>
    <row r="68" spans="1:7" ht="14.25" customHeight="1">
      <c r="A68" s="173" t="s">
        <v>360</v>
      </c>
      <c r="B68" s="173" t="s">
        <v>270</v>
      </c>
      <c r="C68" s="173" t="s">
        <v>271</v>
      </c>
      <c r="D68" s="174">
        <v>4500</v>
      </c>
      <c r="E68" s="174">
        <v>5400</v>
      </c>
      <c r="F68" s="174">
        <v>6100</v>
      </c>
      <c r="G68" s="174">
        <v>9700</v>
      </c>
    </row>
    <row r="69" spans="1:7" ht="14.25" customHeight="1">
      <c r="A69" s="173" t="s">
        <v>360</v>
      </c>
      <c r="B69" s="173" t="s">
        <v>266</v>
      </c>
      <c r="C69" s="173" t="s">
        <v>267</v>
      </c>
      <c r="D69" s="174">
        <v>4500</v>
      </c>
      <c r="E69" s="174">
        <v>5400</v>
      </c>
      <c r="F69" s="174">
        <v>6100</v>
      </c>
      <c r="G69" s="174">
        <v>9700</v>
      </c>
    </row>
    <row r="70" spans="1:7" ht="14.25" customHeight="1">
      <c r="A70" s="173" t="s">
        <v>360</v>
      </c>
      <c r="B70" s="173" t="s">
        <v>268</v>
      </c>
      <c r="C70" s="173" t="s">
        <v>269</v>
      </c>
      <c r="D70" s="174">
        <v>4500</v>
      </c>
      <c r="E70" s="174">
        <v>5400</v>
      </c>
      <c r="F70" s="174">
        <v>6100</v>
      </c>
      <c r="G70" s="174">
        <v>9700</v>
      </c>
    </row>
    <row r="71" spans="1:7" ht="14.25" customHeight="1">
      <c r="A71" s="173" t="s">
        <v>361</v>
      </c>
      <c r="B71" s="173" t="s">
        <v>362</v>
      </c>
      <c r="C71" s="173" t="s">
        <v>363</v>
      </c>
      <c r="D71" s="174">
        <v>4900</v>
      </c>
      <c r="E71" s="174">
        <v>5700</v>
      </c>
      <c r="F71" s="174">
        <v>6400</v>
      </c>
      <c r="G71" s="174">
        <v>10400</v>
      </c>
    </row>
    <row r="72" spans="1:7" ht="14.25" customHeight="1">
      <c r="A72" s="173" t="s">
        <v>361</v>
      </c>
      <c r="B72" s="173" t="s">
        <v>364</v>
      </c>
      <c r="C72" s="173" t="s">
        <v>365</v>
      </c>
      <c r="D72" s="174">
        <v>4900</v>
      </c>
      <c r="E72" s="174">
        <v>5700</v>
      </c>
      <c r="F72" s="174">
        <v>6400</v>
      </c>
      <c r="G72" s="174">
        <v>10400</v>
      </c>
    </row>
    <row r="73" spans="1:7" ht="14.25" customHeight="1">
      <c r="A73" s="173" t="s">
        <v>361</v>
      </c>
      <c r="B73" s="173" t="s">
        <v>366</v>
      </c>
      <c r="C73" s="173" t="s">
        <v>367</v>
      </c>
      <c r="D73" s="174">
        <v>4900</v>
      </c>
      <c r="E73" s="174">
        <v>5700</v>
      </c>
      <c r="F73" s="174">
        <v>6400</v>
      </c>
      <c r="G73" s="174">
        <v>10400</v>
      </c>
    </row>
    <row r="74" spans="1:7" ht="14.25" customHeight="1">
      <c r="A74" s="173" t="s">
        <v>361</v>
      </c>
      <c r="B74" s="173" t="s">
        <v>368</v>
      </c>
      <c r="C74" s="173" t="s">
        <v>369</v>
      </c>
      <c r="D74" s="174">
        <v>4900</v>
      </c>
      <c r="E74" s="174">
        <v>5700</v>
      </c>
      <c r="F74" s="174">
        <v>6400</v>
      </c>
      <c r="G74" s="174">
        <v>10400</v>
      </c>
    </row>
    <row r="75" spans="1:7" ht="14.25" customHeight="1">
      <c r="A75" s="173" t="s">
        <v>370</v>
      </c>
      <c r="B75" s="173" t="s">
        <v>371</v>
      </c>
      <c r="C75" s="173" t="s">
        <v>372</v>
      </c>
      <c r="D75" s="174">
        <v>4900</v>
      </c>
      <c r="E75" s="174">
        <v>5900</v>
      </c>
      <c r="F75" s="174">
        <v>6600</v>
      </c>
      <c r="G75" s="174">
        <v>10700</v>
      </c>
    </row>
    <row r="76" spans="1:7" ht="14.25" customHeight="1">
      <c r="A76" s="173" t="s">
        <v>370</v>
      </c>
      <c r="B76" s="173" t="s">
        <v>373</v>
      </c>
      <c r="C76" s="173" t="s">
        <v>374</v>
      </c>
      <c r="D76" s="174">
        <v>4900</v>
      </c>
      <c r="E76" s="174">
        <v>5900</v>
      </c>
      <c r="F76" s="174">
        <v>6600</v>
      </c>
      <c r="G76" s="174">
        <v>10700</v>
      </c>
    </row>
    <row r="77" spans="1:7" ht="14.25" customHeight="1">
      <c r="A77" s="173" t="s">
        <v>370</v>
      </c>
      <c r="B77" s="173" t="s">
        <v>375</v>
      </c>
      <c r="C77" s="173" t="s">
        <v>376</v>
      </c>
      <c r="D77" s="174">
        <v>4900</v>
      </c>
      <c r="E77" s="174">
        <v>5900</v>
      </c>
      <c r="F77" s="174">
        <v>6600</v>
      </c>
      <c r="G77" s="174">
        <v>10700</v>
      </c>
    </row>
    <row r="78" spans="1:7" ht="14.25" customHeight="1">
      <c r="A78" s="173" t="s">
        <v>370</v>
      </c>
      <c r="B78" s="173" t="s">
        <v>377</v>
      </c>
      <c r="C78" s="173" t="s">
        <v>378</v>
      </c>
      <c r="D78" s="174">
        <v>4900</v>
      </c>
      <c r="E78" s="174">
        <v>5900</v>
      </c>
      <c r="F78" s="174">
        <v>6600</v>
      </c>
      <c r="G78" s="174">
        <v>10700</v>
      </c>
    </row>
    <row r="79" spans="1:7" ht="14.25" customHeight="1">
      <c r="A79" s="173" t="s">
        <v>370</v>
      </c>
      <c r="B79" s="173" t="s">
        <v>379</v>
      </c>
      <c r="C79" s="173" t="s">
        <v>380</v>
      </c>
      <c r="D79" s="174">
        <v>4900</v>
      </c>
      <c r="E79" s="174">
        <v>5900</v>
      </c>
      <c r="F79" s="174">
        <v>6600</v>
      </c>
      <c r="G79" s="174">
        <v>10700</v>
      </c>
    </row>
    <row r="80" spans="1:7" ht="14.25" customHeight="1">
      <c r="A80" s="173" t="s">
        <v>370</v>
      </c>
      <c r="B80" s="173" t="s">
        <v>381</v>
      </c>
      <c r="C80" s="173" t="s">
        <v>382</v>
      </c>
      <c r="D80" s="174">
        <v>4900</v>
      </c>
      <c r="E80" s="174">
        <v>5900</v>
      </c>
      <c r="F80" s="174">
        <v>6600</v>
      </c>
      <c r="G80" s="174">
        <v>10700</v>
      </c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Structure</vt:lpstr>
      <vt:lpstr>MY-2025</vt:lpstr>
      <vt:lpstr>MY-2026</vt:lpstr>
      <vt:lpstr>Combined 2025-2026</vt:lpstr>
      <vt:lpstr>Bank Details</vt:lpstr>
      <vt:lpstr>RMC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Gopinath</dc:creator>
  <cp:lastModifiedBy>Naveen Gopinath</cp:lastModifiedBy>
  <dcterms:created xsi:type="dcterms:W3CDTF">2026-05-02T09:24:11Z</dcterms:created>
  <dcterms:modified xsi:type="dcterms:W3CDTF">2026-07-13T06:46:33Z</dcterms:modified>
</cp:coreProperties>
</file>